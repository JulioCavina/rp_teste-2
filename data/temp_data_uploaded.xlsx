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2"/>
    <sheet name="Dash" sheetId="2" state="visible" r:id="rId3"/>
  </sheets>
  <definedNames>
    <definedName function="false" hidden="true" localSheetId="0" name="_xlnm._FilterDatabase" vbProcedure="false">Base!$A$1:$L$868</definedName>
    <definedName function="false" hidden="true" localSheetId="1" name="_xlnm._FilterDatabase" vbProcedure="false">Dash!$A$1:$N$225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<sst xmlns="http://schemas.openxmlformats.org/spreadsheetml/2006/main" count="3989" uniqueCount="339">
  <si>
    <t xml:space="preserve">Empresa</t>
  </si>
  <si>
    <t xml:space="preserve">REF.</t>
  </si>
  <si>
    <t xml:space="preserve">VIGÊNCIA INI</t>
  </si>
  <si>
    <t xml:space="preserve">VIGÊNCIA FIM</t>
  </si>
  <si>
    <t xml:space="preserve">DESCRIÇÃO</t>
  </si>
  <si>
    <t xml:space="preserve">VALOR BRUTO</t>
  </si>
  <si>
    <t xml:space="preserve">VALOR LIQUIDO</t>
  </si>
  <si>
    <t xml:space="preserve">PRODUTO</t>
  </si>
  <si>
    <t xml:space="preserve">CONTATO COML.</t>
  </si>
  <si>
    <t xml:space="preserve">INSERÇÕES</t>
  </si>
  <si>
    <t xml:space="preserve">AGÊNCIA</t>
  </si>
  <si>
    <t xml:space="preserve">CUSTO UNITÁRIO</t>
  </si>
  <si>
    <t xml:space="preserve">DIFUSORA</t>
  </si>
  <si>
    <t xml:space="preserve">'01/2024'                                                   </t>
  </si>
  <si>
    <t xml:space="preserve">VICTOR MANNUEL CANELLA DE MELO                              </t>
  </si>
  <si>
    <t xml:space="preserve">OLGA LUIZA VANCIM ME</t>
  </si>
  <si>
    <t xml:space="preserve">YELLOW MOUNTAIN DISTRIBUIDORA DE VEICULOS LTD               </t>
  </si>
  <si>
    <t xml:space="preserve">Novabrasil</t>
  </si>
  <si>
    <t xml:space="preserve">MATHEUS HENRIQUE DA SILVA ME                                </t>
  </si>
  <si>
    <t xml:space="preserve">WALNER FRANCISCO ESC</t>
  </si>
  <si>
    <t xml:space="preserve">MULTIGRAPH SOLUCOES GRÁFICAS LTDA                           </t>
  </si>
  <si>
    <t xml:space="preserve">ASSOC UNIF PTA DE ENSINO RENOV. OBJETIVO - AS               </t>
  </si>
  <si>
    <t xml:space="preserve">ASSOC LOJ SHOPPING CENTER RIB PRETO                         </t>
  </si>
  <si>
    <t xml:space="preserve">HARVEN AGRIBUSINESS SCHOOL S/A                              </t>
  </si>
  <si>
    <t xml:space="preserve">BAUHAUS CENTRO DE FORMACAO TECNICO ARTISTA LT               </t>
  </si>
  <si>
    <t xml:space="preserve">'02/2024'                                                   </t>
  </si>
  <si>
    <t xml:space="preserve">ASSOC LOJ NOVO SHOPPING CENTER RIB PRETO                    </t>
  </si>
  <si>
    <t xml:space="preserve">PEREIRA ALVIM PARTICIPACOES E EMPREENDIMENTOS               </t>
  </si>
  <si>
    <t xml:space="preserve">FOUR HANDS PUBLICIDADE E MARKETING EIRELI - M               </t>
  </si>
  <si>
    <t xml:space="preserve">CT COMUNICACAO TOTAL LTDA                                   </t>
  </si>
  <si>
    <t xml:space="preserve">CAOA MONTADORA DE VEICULOS LTDA                             </t>
  </si>
  <si>
    <t xml:space="preserve">BANANAS EVENTOS LTDA                                        </t>
  </si>
  <si>
    <t xml:space="preserve">HB25 EMPREENDIMENTOS IMOBILIÁRIOS SPE LTDA                  </t>
  </si>
  <si>
    <t xml:space="preserve">SERVIÇO SOCIAL DO COMÉRCIO - SESC                           </t>
  </si>
  <si>
    <t xml:space="preserve">'03/2024'                                                   </t>
  </si>
  <si>
    <t xml:space="preserve">NEW VEICULOS E PECAS LTDA                                   </t>
  </si>
  <si>
    <t xml:space="preserve">CERVEJARIA PATA DE ONÇA INDUSTRIA DE BEBIDASL               </t>
  </si>
  <si>
    <t xml:space="preserve">CICAL VEICULOS LTDA                                         </t>
  </si>
  <si>
    <t xml:space="preserve">TH+ PRIME</t>
  </si>
  <si>
    <t xml:space="preserve">LEROY MERLIN COMPANHIA BRASILEIRA DE BRICOLAG               </t>
  </si>
  <si>
    <t xml:space="preserve">ASSOCIACAO COMERCIAL E INDUSTRIAL DE RIBEIRÃO               </t>
  </si>
  <si>
    <t xml:space="preserve">ASSOCIAÇÃO JABOTICABALENSE DE EDUCAÇÃO E CULT               </t>
  </si>
  <si>
    <t xml:space="preserve">MMS EVENTOS E SERVICOS LTDA                                 </t>
  </si>
  <si>
    <t xml:space="preserve">'04/2024'                                                   </t>
  </si>
  <si>
    <t xml:space="preserve">SANTA EMÍLIA MOTORS COM DE VEÍCULOS E PEÇAS L               </t>
  </si>
  <si>
    <t xml:space="preserve">TOPLIFE NOVA IORQUE INCORPORADORA IMOBILIARIA               </t>
  </si>
  <si>
    <t xml:space="preserve">HB23 EMPREENDIMENTOS IMOBILIARIOS SPE LTDA                  </t>
  </si>
  <si>
    <t xml:space="preserve">J.C.A. RESTAURANTE E CHOPERIA LTDA                          </t>
  </si>
  <si>
    <t xml:space="preserve">BM2 PUBLICIDADE LTDA                                        </t>
  </si>
  <si>
    <t xml:space="preserve">SPE 29 - BEM VIVER CARAMURU RIBEIRAO EMPREEND               </t>
  </si>
  <si>
    <t xml:space="preserve">Thathi TV</t>
  </si>
  <si>
    <t xml:space="preserve">'05/2024'                                                   </t>
  </si>
  <si>
    <t xml:space="preserve">BDG SINOBRAS COMERCIO E IMPORTACAO LTDA                     </t>
  </si>
  <si>
    <t xml:space="preserve">MINERACAO CURIMBABA LTDA                                    </t>
  </si>
  <si>
    <t xml:space="preserve">COOPERATIVA DE ECONOMIA E CREDITO MUTUO DOS E               </t>
  </si>
  <si>
    <t xml:space="preserve">TECSOUL AUTOMACAO E SISTEMAS S.A.                           </t>
  </si>
  <si>
    <t xml:space="preserve">ASSOC LOJ FUNDO PROM. SHOPPING CENTER                       </t>
  </si>
  <si>
    <t xml:space="preserve">DIRECIONAL ENGENHARIA S/A                                   </t>
  </si>
  <si>
    <t xml:space="preserve">MANIERI &amp; STEIN PRODUCOES ARTISTICAS S/S LTDA               </t>
  </si>
  <si>
    <t xml:space="preserve">ASSOCIAÇÃO DE ENGENHARIA, ARQ. E AGRON. DE RI               </t>
  </si>
  <si>
    <t xml:space="preserve">'06/2024'                                                   </t>
  </si>
  <si>
    <t xml:space="preserve">RPO BILD DESENVOLVIMENTO IMOBILIARIO 77 SPE L               </t>
  </si>
  <si>
    <t xml:space="preserve">H.L. DO BRASIL INDUSTRIA E COMERCIO DE PRODUT               </t>
  </si>
  <si>
    <t xml:space="preserve">CONSELHO REGIONAL ENGENHARIA AGRONOMIA ESTADO               </t>
  </si>
  <si>
    <t xml:space="preserve">B.C.A. PRODUÇÕES E ASSESSORIA DE SHOW LTDA                  </t>
  </si>
  <si>
    <t xml:space="preserve">NOVAEMP RIBEIRAO PRETO EMPREENDIMENTOS IMOBIL               </t>
  </si>
  <si>
    <t xml:space="preserve">DRITTO ESTIMULOS COMUNICAÇÃO LTDA                           </t>
  </si>
  <si>
    <t xml:space="preserve">HB26 EMPREENDIMENTOS IMOBILIARIOS SPE LTDA                  </t>
  </si>
  <si>
    <t xml:space="preserve">'07/2024'                                                   </t>
  </si>
  <si>
    <t xml:space="preserve">METEORO KOMBLUE EVENTOS E CERVEJARIA LTDA                   </t>
  </si>
  <si>
    <t xml:space="preserve">WJJ VEICULOS LTDA                                           </t>
  </si>
  <si>
    <t xml:space="preserve">PORTO SEGURO CIA DE SEGURO GERAIS                           </t>
  </si>
  <si>
    <t xml:space="preserve">JAVEP VEICULOS PECAS E SERVICOS LTDA                        </t>
  </si>
  <si>
    <t xml:space="preserve">FUNDACAO DO LIVRO E LEITURA DE RIBEIRÃO PRETO               </t>
  </si>
  <si>
    <t xml:space="preserve">MARCELO A. B. NAHAS                                         </t>
  </si>
  <si>
    <t xml:space="preserve">'08/2024'                                                   </t>
  </si>
  <si>
    <t xml:space="preserve">PASCHOALOTTO SERVICOS FINANCEIROS S/A                       </t>
  </si>
  <si>
    <t xml:space="preserve">DOMINGOS EMPREENDIMENTOS IMOBILIARIOS LTDA                  </t>
  </si>
  <si>
    <t xml:space="preserve">CENTRO DE EVENTOS MOGIANA LTDA                              </t>
  </si>
  <si>
    <t xml:space="preserve">ATRI COMERCIAL LTDA                                         </t>
  </si>
  <si>
    <t xml:space="preserve">PD8 DISTRIBUIDORA DE ALIMENTOS LTDA                         </t>
  </si>
  <si>
    <t xml:space="preserve">ABAG/RP ASSOCIACAO BRASILEIRA DO AGRONEGOCIO                </t>
  </si>
  <si>
    <t xml:space="preserve">'09/2024'                                                   </t>
  </si>
  <si>
    <t xml:space="preserve">IN PLANT CENTER LTDA                                        </t>
  </si>
  <si>
    <t xml:space="preserve">ATR VEICULOS LTDA                                           </t>
  </si>
  <si>
    <t xml:space="preserve">SPAGNHOL COMERCIO DE FLORES &amp; PLANTAS LTDA                  </t>
  </si>
  <si>
    <t xml:space="preserve">FJ ASSESSORIA,MARKETING E PRODUCAO DE EVENTOS               </t>
  </si>
  <si>
    <t xml:space="preserve">'10/2024'                                                   </t>
  </si>
  <si>
    <t xml:space="preserve">SINDICATO DOS TRABALHADORES EM HOTEIS, MOTEIS               </t>
  </si>
  <si>
    <t xml:space="preserve">'11/2024'                                                   </t>
  </si>
  <si>
    <t xml:space="preserve">ASSOCIACAO EDUCACIONAL IRMAS SALESIANAS DE SA               </t>
  </si>
  <si>
    <t xml:space="preserve">MUNICIPIO DE RIBEIRÃO PRETO                                 </t>
  </si>
  <si>
    <t xml:space="preserve">ALINE DE CARVALHO SILVA ALMEIDA                             </t>
  </si>
  <si>
    <t xml:space="preserve">OSM GESTÃO E EMPREENDIMENTOS LTDA                           </t>
  </si>
  <si>
    <t xml:space="preserve">ASSOCIAÇÃO DOS LOJISTAS DO SHOPPING JARDIM AN               </t>
  </si>
  <si>
    <t xml:space="preserve">VOGEL SOLICOES EM TELECOMUNICACOES E INFORMAT               </t>
  </si>
  <si>
    <t xml:space="preserve">STIHL FERRAMENTAS MOTORIZADAS LTDA                          </t>
  </si>
  <si>
    <t xml:space="preserve">'12/2024'                                                   </t>
  </si>
  <si>
    <t xml:space="preserve">DUO TICKET INTERMEDIACAO DE INGRESSOS LTDA                  </t>
  </si>
  <si>
    <t xml:space="preserve">SEB ESCOLA DE ALTA PERFORMANCE LTDA                         </t>
  </si>
  <si>
    <t xml:space="preserve">ASSOCIACAO SANTA MARIA OUTLET CRAVINHOS (SMOC               </t>
  </si>
  <si>
    <t xml:space="preserve">ESCOLA SANTA MARIA LTDA                                     </t>
  </si>
  <si>
    <t xml:space="preserve">PAIVA EDUCACIONAL S.A                                       </t>
  </si>
  <si>
    <t xml:space="preserve">STUDIO COLLAB MOBILIARIO CORPORATIVO LTDA                   </t>
  </si>
  <si>
    <t xml:space="preserve">INSTITUIÇÃO UNIVERSITÁRIA MOURA LACERDA                     </t>
  </si>
  <si>
    <t xml:space="preserve">CERVEJARIA SP 330 RIBEIRAO PRETO LTDA                       </t>
  </si>
  <si>
    <t xml:space="preserve">BOTICARIO PRODUTOS DE BELEZA LTDA                           </t>
  </si>
  <si>
    <t xml:space="preserve">'01/2025'                                                   </t>
  </si>
  <si>
    <t xml:space="preserve">RPO 11 BILD DESENVOLVIMENTO IMOBILIARIO SPE L               </t>
  </si>
  <si>
    <t xml:space="preserve">RAFAEL ANANIAS &amp; CIA LTDA                                   </t>
  </si>
  <si>
    <t xml:space="preserve">TENDA ATACADO S.A.                                          </t>
  </si>
  <si>
    <t xml:space="preserve">BLUEFIT ACADEMIADE GINASTICA E PARTICIPAÇÕES                </t>
  </si>
  <si>
    <t xml:space="preserve">SICOOB COCRED COOPERATIVA DE CREDITO                        </t>
  </si>
  <si>
    <t xml:space="preserve">SP COMERCIO DE CERVEJAS ESPECIAIS EIRELI                    </t>
  </si>
  <si>
    <t xml:space="preserve">MAGALHAES &amp; MAGALHAES EDUCACIONAL LTDA - ME                 </t>
  </si>
  <si>
    <t xml:space="preserve">'02/2025'                                                   </t>
  </si>
  <si>
    <t xml:space="preserve">MRV ENGENHARIA E PARTICIPACOES S/A                          </t>
  </si>
  <si>
    <t xml:space="preserve">SAINT BARTH DISTRIBUIDORA DE BEBIDAS LTDA                   </t>
  </si>
  <si>
    <t xml:space="preserve">RIBERPRESS COMERCIO GRAFICO E EDITORA EIRELI                </t>
  </si>
  <si>
    <t xml:space="preserve">HB35 EMPREENDIMENTOS IMOBILIARIOS LTDA                      </t>
  </si>
  <si>
    <t xml:space="preserve">'03/2025'                                                   </t>
  </si>
  <si>
    <t xml:space="preserve">JADER DESINDE                                               </t>
  </si>
  <si>
    <t xml:space="preserve">ART CHICK PRODUTOS PUBLICITARIOS LTDA                       </t>
  </si>
  <si>
    <t xml:space="preserve">OLHOS DAGUA Q6 L2 RPO DESENVOLVIMENTO IMOBILI               </t>
  </si>
  <si>
    <t xml:space="preserve">JURITI AUTO POSTO LTDA                                      </t>
  </si>
  <si>
    <t xml:space="preserve">SPE URBEN ASCEN DESENVOLVIMENTO IMOBILIARIO L               </t>
  </si>
  <si>
    <t xml:space="preserve">LEROY MERLIN COMPANHIA BRASILEIRA</t>
  </si>
  <si>
    <t xml:space="preserve">VENDA EXTERNA R79</t>
  </si>
  <si>
    <t xml:space="preserve">AD+R</t>
  </si>
  <si>
    <t xml:space="preserve">'04/2025'                                                   </t>
  </si>
  <si>
    <t xml:space="preserve">SECRETARIA ESPECIAL DE COMUNICAÇÃO</t>
  </si>
  <si>
    <t xml:space="preserve">GOVERNO FED DIF</t>
  </si>
  <si>
    <t xml:space="preserve">VENDA EXTERNA DIF</t>
  </si>
  <si>
    <t xml:space="preserve">NOVA S.A.</t>
  </si>
  <si>
    <t xml:space="preserve">GOVERNO FED R79</t>
  </si>
  <si>
    <t xml:space="preserve">PROPEG</t>
  </si>
  <si>
    <t xml:space="preserve">MMS EVENTOS E SERVICOS LTDA</t>
  </si>
  <si>
    <t xml:space="preserve">PERMUTA DIF</t>
  </si>
  <si>
    <t xml:space="preserve">CICAL VEICULOS LTDA</t>
  </si>
  <si>
    <t xml:space="preserve">OLGA NB</t>
  </si>
  <si>
    <t xml:space="preserve">SERVIÇO SOCIAL DO COMERCIO</t>
  </si>
  <si>
    <t xml:space="preserve">Th+ Prime</t>
  </si>
  <si>
    <t xml:space="preserve">DIMETAL DISTRIBUIDORA</t>
  </si>
  <si>
    <t xml:space="preserve">DROGARIA ESTRELA SILVA LTDA</t>
  </si>
  <si>
    <t xml:space="preserve">EXPAMENTAL COMERCIO ACESSÓRIOS</t>
  </si>
  <si>
    <t xml:space="preserve">KITO VEICULOS LTDA</t>
  </si>
  <si>
    <t xml:space="preserve">THRIVE FINANCE LTDA</t>
  </si>
  <si>
    <t xml:space="preserve">MINISTÉRIO DA SAÚDE</t>
  </si>
  <si>
    <t xml:space="preserve">GOVERNO FED NB</t>
  </si>
  <si>
    <t xml:space="preserve">DEBRITO</t>
  </si>
  <si>
    <t xml:space="preserve">COMPANHIA BRASILEIRA DISTRIBUIÇÃO</t>
  </si>
  <si>
    <t xml:space="preserve">AFRICA</t>
  </si>
  <si>
    <t xml:space="preserve">VENDA EXTERNA NB</t>
  </si>
  <si>
    <t xml:space="preserve">CALIA Y2</t>
  </si>
  <si>
    <t xml:space="preserve">SEB ESCOLA DE ALTA PERFORMANCE LTDA</t>
  </si>
  <si>
    <t xml:space="preserve">WALNER DIF</t>
  </si>
  <si>
    <t xml:space="preserve">SPE URBEN ASCEN DESENVOLVIMENTO</t>
  </si>
  <si>
    <t xml:space="preserve">IDEATORE</t>
  </si>
  <si>
    <t xml:space="preserve">ASSOCIAÇÃO DE ENG. ARQ. RIB PRETO</t>
  </si>
  <si>
    <t xml:space="preserve">ONTAKE VEICULOS LTDA                                        </t>
  </si>
  <si>
    <t xml:space="preserve">PAGANO FASCINIO FIUSA EMPREENDIMENTO IMOBILIA               </t>
  </si>
  <si>
    <t xml:space="preserve">PAGANO AUTHORIA TRIANON EMPREENDIMENTOS IMOBI               </t>
  </si>
  <si>
    <t xml:space="preserve">VILLA MONTESE EMPREENDIMENTOS IMOBILIARIOS SP               </t>
  </si>
  <si>
    <t xml:space="preserve">NOW MOTORS COMERCIO DE VEICULOS E PECAS LTDA                </t>
  </si>
  <si>
    <t xml:space="preserve">ALMEIDA LIMA SOCIEDADE DE ADVOGADOS</t>
  </si>
  <si>
    <t xml:space="preserve">ALPINIA VEICULOS E PEÇAS LTDA</t>
  </si>
  <si>
    <t xml:space="preserve">R ANTUNES</t>
  </si>
  <si>
    <t xml:space="preserve">AMBIENT SERVIÇOS AMBIENTAIS</t>
  </si>
  <si>
    <t xml:space="preserve">JORNAL NOVA BRASIL</t>
  </si>
  <si>
    <t xml:space="preserve">APEOESP SINDICATO DOS PROFESSORES</t>
  </si>
  <si>
    <t xml:space="preserve">ASSOC DOS LOJISTAS SHOPPING CENTER</t>
  </si>
  <si>
    <t xml:space="preserve">OLGA DIF</t>
  </si>
  <si>
    <t xml:space="preserve">NW3</t>
  </si>
  <si>
    <t xml:space="preserve">ASSOC LOJ SHOPPING CENTER RIB PPRETO</t>
  </si>
  <si>
    <t xml:space="preserve">ASSOCIAÇÃO DA SANTA CASA SAÚDE RIB PRETO</t>
  </si>
  <si>
    <t xml:space="preserve">ASSOCIAÇÃO DOS LOJISTAS DO SHOPPING ANÁLIA</t>
  </si>
  <si>
    <t xml:space="preserve">VENDA EXPORTAÇÃO</t>
  </si>
  <si>
    <t xml:space="preserve">OLGA EXP</t>
  </si>
  <si>
    <t xml:space="preserve">BALAU MADEIRAS INDUSTRIA</t>
  </si>
  <si>
    <t xml:space="preserve">BANCO DO BRASIL S/A</t>
  </si>
  <si>
    <t xml:space="preserve">LEWLARA</t>
  </si>
  <si>
    <t xml:space="preserve">BASEQUIMICA PRODUTOS QUIMICOS</t>
  </si>
  <si>
    <t xml:space="preserve">THATHI CIDADE</t>
  </si>
  <si>
    <t xml:space="preserve">DIALOGO</t>
  </si>
  <si>
    <t xml:space="preserve">BEZERRA SAKURAI E URSI CLINICA</t>
  </si>
  <si>
    <t xml:space="preserve">BM2 PUBLICIDADE LTDA</t>
  </si>
  <si>
    <t xml:space="preserve">BM2 PUBLICIDADE</t>
  </si>
  <si>
    <t xml:space="preserve">C.W. ARTIGOS PARA PRESENTE</t>
  </si>
  <si>
    <t xml:space="preserve">CAÇOLA EMBALAGENS LTDA</t>
  </si>
  <si>
    <t xml:space="preserve">CANAFORTE COMERCIO MAQUINAS</t>
  </si>
  <si>
    <t xml:space="preserve">CESAR HENRIQUE SALOMÃO</t>
  </si>
  <si>
    <t xml:space="preserve">CLAUDIA RENATA MASSUIA FERREIRA</t>
  </si>
  <si>
    <t xml:space="preserve">COAL CEREALISTA ORLANDO</t>
  </si>
  <si>
    <t xml:space="preserve">COMERCIAL PROTON LIMITADA</t>
  </si>
  <si>
    <t xml:space="preserve">CRIAH COMUNICACAO</t>
  </si>
  <si>
    <t xml:space="preserve">COMERCIO DE FERRAGENS PIRES</t>
  </si>
  <si>
    <t xml:space="preserve">COOPERATIVA CENTRAL DE CREDIT</t>
  </si>
  <si>
    <t xml:space="preserve">AGMIDIA</t>
  </si>
  <si>
    <t xml:space="preserve">DEPOSITO IRAJA MATERIAIS</t>
  </si>
  <si>
    <t xml:space="preserve">SERGIO GUALDANI</t>
  </si>
  <si>
    <t xml:space="preserve">DOMINGO DAVID</t>
  </si>
  <si>
    <t xml:space="preserve">EMPÓRIO NORTE BRASIL PRODUTOS</t>
  </si>
  <si>
    <t xml:space="preserve">FUNDAÇÃO PIO XII</t>
  </si>
  <si>
    <t xml:space="preserve">HB23 EMPREENDIMENTOS IMOBILIÁRIOS SPE</t>
  </si>
  <si>
    <t xml:space="preserve">ALTA PUBLICITÁ</t>
  </si>
  <si>
    <t xml:space="preserve">HB35 EMPREENDIMENTOS IMOBILIÁRIOS SPE</t>
  </si>
  <si>
    <t xml:space="preserve">HELOISA HELENA PEDROSA</t>
  </si>
  <si>
    <t xml:space="preserve">INDUSTRIA DE MASSAS ALIMENTICIAS</t>
  </si>
  <si>
    <t xml:space="preserve">VCR COMUNICAÇÃO</t>
  </si>
  <si>
    <t xml:space="preserve">INDUSTRIA E COMERCIO DE DOCES</t>
  </si>
  <si>
    <t xml:space="preserve">JEAN DANIEL CORAUCCI</t>
  </si>
  <si>
    <t xml:space="preserve">NOW MOTORS COMERCIO DE VIECULOS E PEÇAS</t>
  </si>
  <si>
    <t xml:space="preserve">SUAVE</t>
  </si>
  <si>
    <t xml:space="preserve">PAGANO AUTHORIA TRIANON EMPREENDIMENTOS</t>
  </si>
  <si>
    <t xml:space="preserve">QUATRE</t>
  </si>
  <si>
    <t xml:space="preserve">PAGANO FASCINIO FIUSA EMPREENDIMENTOS</t>
  </si>
  <si>
    <t xml:space="preserve">PD8 DISTRIBUIDORA DE ALIMENTOS LTDA</t>
  </si>
  <si>
    <t xml:space="preserve">WALNER TH+</t>
  </si>
  <si>
    <t xml:space="preserve">PEREIRA ALVIM PARTICIPAÇÕES</t>
  </si>
  <si>
    <t xml:space="preserve">REGIONAL COMERCIO DE MATERIAIS</t>
  </si>
  <si>
    <t xml:space="preserve">RIBERPRESS COMERCIO GRAFICO EDITORA</t>
  </si>
  <si>
    <t xml:space="preserve">PERMUTA NB</t>
  </si>
  <si>
    <t xml:space="preserve">WALNER NB</t>
  </si>
  <si>
    <t xml:space="preserve">SAVEGNAGO SUPEMERCADO</t>
  </si>
  <si>
    <t xml:space="preserve">SHALON</t>
  </si>
  <si>
    <t xml:space="preserve">SECRETARIA DE COMUNICAÇÃO</t>
  </si>
  <si>
    <t xml:space="preserve">GOVERNO EST NB</t>
  </si>
  <si>
    <t xml:space="preserve">BAILA</t>
  </si>
  <si>
    <t xml:space="preserve">SICOOB COCRED COOPERATIVA DE CREDITO</t>
  </si>
  <si>
    <t xml:space="preserve">SINDICATO DOS EMPREGADOS</t>
  </si>
  <si>
    <t xml:space="preserve">SINDICATO DOS SERVIDORES</t>
  </si>
  <si>
    <t xml:space="preserve">ESTÚDIO THATHI</t>
  </si>
  <si>
    <t xml:space="preserve">SOLUÇÕES TECNOCURSOS LTDA</t>
  </si>
  <si>
    <t xml:space="preserve">SUPERMERCADO BIG COMPRA LTDA</t>
  </si>
  <si>
    <t xml:space="preserve">USPD UNIDADE SUPERIOR PESQUISA</t>
  </si>
  <si>
    <t xml:space="preserve">WJJ VEICLUOS LTDA</t>
  </si>
  <si>
    <t xml:space="preserve">ADRIANA DOS SANTOS SOUZA</t>
  </si>
  <si>
    <t xml:space="preserve">ASSOC UNIF PTA DO ENSINO RENOVADO</t>
  </si>
  <si>
    <t xml:space="preserve">OBJETIVO</t>
  </si>
  <si>
    <t xml:space="preserve">COMIDA DE BUTECO PRODUÇÕES GASTRONO</t>
  </si>
  <si>
    <t xml:space="preserve">DESIGN</t>
  </si>
  <si>
    <t xml:space="preserve">GS INIMA BRASIL LTDA</t>
  </si>
  <si>
    <t xml:space="preserve">RISE GRACE PRODUÇÕES ARTÍSTICAS LTDA</t>
  </si>
  <si>
    <t xml:space="preserve">SINDICATO DOS EMPREGADOS NO COMÉRCIO</t>
  </si>
  <si>
    <t xml:space="preserve">PROGRAMA STCOK CAST</t>
  </si>
  <si>
    <t xml:space="preserve">'05/2025'                                                   </t>
  </si>
  <si>
    <t xml:space="preserve">METROPOLITAN EDCUCAÇÃO LTDA</t>
  </si>
  <si>
    <t xml:space="preserve">ATIVA LOCAÇÃO LTDA</t>
  </si>
  <si>
    <t xml:space="preserve">ASSOCIAÇÃO COMERCIAL INDUSTRIAL RIB PRETO</t>
  </si>
  <si>
    <t xml:space="preserve">ASSOCIACAO MINAZ DE CULTURA                                 </t>
  </si>
  <si>
    <t xml:space="preserve">ASSOCIAÇÃO MINAZ DE CULTURA</t>
  </si>
  <si>
    <t xml:space="preserve">EVENTS MARKETING PROMOCIONAL E SOLUCOES EM CO               </t>
  </si>
  <si>
    <t xml:space="preserve">JULIA BERGO NAKAMURA</t>
  </si>
  <si>
    <t xml:space="preserve">EVENTS MARKETING PROMOCIONAL E SOLUÇÕES</t>
  </si>
  <si>
    <t xml:space="preserve">JULIA DIF</t>
  </si>
  <si>
    <t xml:space="preserve">JULIA NB</t>
  </si>
  <si>
    <t xml:space="preserve">JULIA PORTAL</t>
  </si>
  <si>
    <t xml:space="preserve">JULIA TH+</t>
  </si>
  <si>
    <t xml:space="preserve">BANANAS EVENTOS LTDA</t>
  </si>
  <si>
    <t xml:space="preserve">ATRI COMERCIAL LTDA</t>
  </si>
  <si>
    <t xml:space="preserve">REGINA RIROKO HATANO KOGAWA                                 </t>
  </si>
  <si>
    <t xml:space="preserve">JADER DESINDE</t>
  </si>
  <si>
    <t xml:space="preserve">KADO COMERCIO DE APARELHOS AUDITIVOS LTDA                   </t>
  </si>
  <si>
    <t xml:space="preserve">EDUARDO NOTOMI KANAZ</t>
  </si>
  <si>
    <t xml:space="preserve">ARS PRINT SIGN GIFT LTDA</t>
  </si>
  <si>
    <t xml:space="preserve">JAVEP VEICULOS PECAS E SERVICOS LTDA</t>
  </si>
  <si>
    <t xml:space="preserve">SERVIÇO SOCIAL DO COMÉRCIO</t>
  </si>
  <si>
    <t xml:space="preserve">VILLA MONTESE EMPREENDIMENTOS IMOBI</t>
  </si>
  <si>
    <t xml:space="preserve">ASSOC UNIF PTA DE ENSINO RENOVADO OBJETIVO</t>
  </si>
  <si>
    <t xml:space="preserve">CRIAH</t>
  </si>
  <si>
    <t xml:space="preserve">HB23 EMPREENDIMENTOS IMOBILIARIOS</t>
  </si>
  <si>
    <t xml:space="preserve">HB35 EMPREENDIMENTOS IMOBILIARIOS</t>
  </si>
  <si>
    <t xml:space="preserve">PAGANO FASCINIO FIUSA EMPREENDIMENTOS IMOBILIA</t>
  </si>
  <si>
    <t xml:space="preserve">SERVIÇO DE APOIO AS MICROS PEQUENAS EMPRESAS</t>
  </si>
  <si>
    <t xml:space="preserve">SICOOB COCRED COOPERATIVA DE CRÉDITO</t>
  </si>
  <si>
    <t xml:space="preserve">ONTAKE VEICULOS LTDA</t>
  </si>
  <si>
    <t xml:space="preserve">NOW MOTORS COMERCIO DE VEICULOS E PEÇAS</t>
  </si>
  <si>
    <t xml:space="preserve">CERES INVESTIMENTOS E CONSULTORIA LTDA</t>
  </si>
  <si>
    <t xml:space="preserve">OTMA</t>
  </si>
  <si>
    <t xml:space="preserve">EMOV FABRICA LTDA                                           </t>
  </si>
  <si>
    <t xml:space="preserve">EMOV FÁBRICA LTDA</t>
  </si>
  <si>
    <t xml:space="preserve">R. R AGÊNCIA DE MÚSICA LTDA</t>
  </si>
  <si>
    <t xml:space="preserve">DEPARTAMENTO ARTÍSTICOS</t>
  </si>
  <si>
    <t xml:space="preserve">'06/2025'                                                   </t>
  </si>
  <si>
    <t xml:space="preserve">DANSOL COMERCIO E SERVIÇOS LTDA                             </t>
  </si>
  <si>
    <t xml:space="preserve">ASSOCIAÇÃO COMERCIAL INDUSTRIAL DE MOVEIS PAS               </t>
  </si>
  <si>
    <t xml:space="preserve">CONTABILISTA PLAY TREINAMENTOS LTDA</t>
  </si>
  <si>
    <t xml:space="preserve">DANSOL COMERCIO E SERVIÇOS LTDA</t>
  </si>
  <si>
    <t xml:space="preserve">TIAGO ADORNO                                                </t>
  </si>
  <si>
    <t xml:space="preserve">COBASI COMERCIO DE PRODUTOS BASICOS E INDUSTR               </t>
  </si>
  <si>
    <t xml:space="preserve">COBASI COMERCIO DE PRODUTOS BÁSICOS</t>
  </si>
  <si>
    <t xml:space="preserve">EDUARDO DIF</t>
  </si>
  <si>
    <t xml:space="preserve">SERVICO FUNERARIO DE RIBEIRAO PRETO LTDA                    </t>
  </si>
  <si>
    <t xml:space="preserve">RPO06 TERRE URBANISMO SPE LTDA                              </t>
  </si>
  <si>
    <t xml:space="preserve">LACIC VEÍCULOS LTDA                                         </t>
  </si>
  <si>
    <t xml:space="preserve">HB21 EMPREENDIMENTOS IMOBILIARIOS SPE LTDA                  </t>
  </si>
  <si>
    <t xml:space="preserve">RPO 11 BILD DESENVOLVIMENTO</t>
  </si>
  <si>
    <t xml:space="preserve">'07/2025'                                                   </t>
  </si>
  <si>
    <t xml:space="preserve">COOPERATIVA DE ECONOMIA E CREDITO</t>
  </si>
  <si>
    <t xml:space="preserve">OLGA TH+</t>
  </si>
  <si>
    <t xml:space="preserve">SINDICATO DOS SERVIDORES MUNICIPAIS</t>
  </si>
  <si>
    <t xml:space="preserve">FRESNO PRODUÇÕES ARTISTICAS LTDA</t>
  </si>
  <si>
    <t xml:space="preserve">SUPERMERCADOS MIALICH LTDA                                  </t>
  </si>
  <si>
    <t xml:space="preserve">SINDICATO DOS EMPREGADOS NO COMERCIO DE RIBEI               </t>
  </si>
  <si>
    <t xml:space="preserve">'08/2025'                                                   </t>
  </si>
  <si>
    <t xml:space="preserve">ALTO DO CASTELO III EMPREENDIMENTOS SPE LTDA                </t>
  </si>
  <si>
    <t xml:space="preserve">AJR INTERMEDIAÇÃO DE VEICULOS RIBEIRÃO PRETO                </t>
  </si>
  <si>
    <t xml:space="preserve">HERBERT JOSE FURLANE</t>
  </si>
  <si>
    <t xml:space="preserve">ZORDAN COMERCIO E SRVIÇOS LTDA                              </t>
  </si>
  <si>
    <t xml:space="preserve">'09/2025'                                                   </t>
  </si>
  <si>
    <t xml:space="preserve">EURO RP VEICULOS LTDA                                       </t>
  </si>
  <si>
    <t xml:space="preserve">AFYA PARTICIPAÇÕES S.A.                                     </t>
  </si>
  <si>
    <t xml:space="preserve">SEB ESCOLAS DE ALTA PERFORMANCE S.A.                        </t>
  </si>
  <si>
    <t xml:space="preserve">ASSOCIACAO DE ENSINO DE RIBEIRAO PRETO                      </t>
  </si>
  <si>
    <t xml:space="preserve">INICIAL COMERCIO DE COMBUSTIVEL</t>
  </si>
  <si>
    <t xml:space="preserve">CAFÉ UTAM S/A                                               </t>
  </si>
  <si>
    <t xml:space="preserve">SAVEGANGO SUPERMERCADO LTDA                                 </t>
  </si>
  <si>
    <t xml:space="preserve">CENTRO EDUCACIONAL E CULTURAL ALMIEDA</t>
  </si>
  <si>
    <t xml:space="preserve">TENDA ATACADO S.A.</t>
  </si>
  <si>
    <t xml:space="preserve">ESTAÇÃO</t>
  </si>
  <si>
    <t xml:space="preserve">RAFAEL ANANIAS &amp; CIA LTDA</t>
  </si>
  <si>
    <t xml:space="preserve">FIT COM</t>
  </si>
  <si>
    <t xml:space="preserve">I-NOVA RIBEIRÃO PRETO COMERCIO DE AUTO</t>
  </si>
  <si>
    <t xml:space="preserve">FERNANDO CESAR ROSADO</t>
  </si>
  <si>
    <t xml:space="preserve">SOCIEDADE ESPIRITA ALLAN KARDEC</t>
  </si>
  <si>
    <t xml:space="preserve">REGINA RIROKO HATANO KOGAWA</t>
  </si>
  <si>
    <t xml:space="preserve">KADO COMÉRCIO DE APARELHOS AUDITIVOS</t>
  </si>
  <si>
    <t xml:space="preserve">EDUARDO TH+</t>
  </si>
  <si>
    <t xml:space="preserve">EDUARDO NB</t>
  </si>
  <si>
    <t xml:space="preserve">EDUARDO PORTAL</t>
  </si>
  <si>
    <t xml:space="preserve">EMPÓRIO NORTE BRASIL PRODUTOS TIPICOS LTDA</t>
  </si>
  <si>
    <t xml:space="preserve">Concat – empresa+vigencia fim+descricao</t>
  </si>
  <si>
    <r>
      <rPr>
        <sz val="11"/>
        <color rgb="FF000000"/>
        <rFont val="Arial"/>
        <family val="2"/>
        <charset val="1"/>
      </rPr>
      <t xml:space="preserve">VALOR </t>
    </r>
    <r>
      <rPr>
        <b val="true"/>
        <sz val="11"/>
        <color rgb="FFFF0000"/>
        <rFont val="Aptos Narrow"/>
        <family val="2"/>
        <charset val="1"/>
      </rPr>
      <t xml:space="preserve">LIQUIDO</t>
    </r>
  </si>
  <si>
    <t xml:space="preserve">RÁDIO 79</t>
  </si>
  <si>
    <t xml:space="preserve">NOVA BRASIL</t>
  </si>
  <si>
    <t xml:space="preserve">TH+</t>
  </si>
  <si>
    <t xml:space="preserve">OBJETIVO PROP</t>
  </si>
  <si>
    <t xml:space="preserve">TH+ IN</t>
  </si>
  <si>
    <t xml:space="preserve">PORTAL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</si>
</sst>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yy"/>
    <numFmt numFmtId="166" formatCode="#,##0.00"/>
    <numFmt numFmtId="167" formatCode="dd/mm/yy"/>
    <numFmt numFmtId="168" formatCode="mmm/yy"/>
    <numFmt numFmtId="169" formatCode="[$-416]dd/mm/yy"/>
    <numFmt numFmtId="170" formatCode="&quot;R$ &quot;#,##0.00"/>
    <numFmt numFmtId="171" formatCode="0"/>
    <numFmt numFmtId="172" formatCode="_-* #,##0_-;\-* #,##0_-;_-* \-_-;_-@_-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name val="Arial"/>
      <family val="2"/>
      <charset val="1"/>
    </font>
    <font>
      <b val="true"/>
      <sz val="11"/>
      <color rgb="FFFF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4F15"/>
        <bgColor rgb="FFFF6600"/>
      </patternFill>
    </fill>
    <fill>
      <patternFill patternType="solid">
        <fgColor rgb="FF78206E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4EA72E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56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78206E"/>
        </patternFill>
      </fill>
    </dxf>
    <dxf>
      <fill>
        <patternFill patternType="solid">
          <fgColor rgb="FFC04F15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C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02B93"/>
        </patternFill>
      </fill>
    </dxf>
    <dxf>
      <font>
        <name val="Aptos Narrow"/>
        <charset val="1"/>
        <family val="2"/>
        <color rgb="FFFFFFFF"/>
        <sz val="11"/>
      </font>
      <fill>
        <patternFill>
          <bgColor rgb="FF00000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196B24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4EA72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4EA72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C04F15"/>
      <rgbColor rgb="FF78206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9" activeCellId="0" sqref="G9"/>
    </sheetView>
  </sheetViews>
  <sheetFormatPr defaultColWidth="10.2421875" defaultRowHeight="13.8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1" width="33.75"/>
    <col collapsed="false" customWidth="true" hidden="false" outlineLevel="0" max="3" min="3" style="1" width="15.47"/>
    <col collapsed="false" customWidth="true" hidden="false" outlineLevel="0" max="4" min="4" style="1" width="16.21"/>
    <col collapsed="false" customWidth="true" hidden="false" outlineLevel="0" max="5" min="5" style="1" width="62.04"/>
    <col collapsed="false" customWidth="true" hidden="true" outlineLevel="0" max="6" min="6" style="1" width="17.08"/>
    <col collapsed="false" customWidth="true" hidden="false" outlineLevel="0" max="7" min="7" style="1" width="18.19"/>
    <col collapsed="false" customWidth="true" hidden="true" outlineLevel="0" max="8" min="8" style="1" width="25.35"/>
    <col collapsed="false" customWidth="true" hidden="false" outlineLevel="0" max="9" min="9" style="1" width="25.35"/>
    <col collapsed="false" customWidth="false" hidden="false" outlineLevel="0" max="16382" min="10" style="1" width="10.2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B2" s="1" t="s">
        <v>13</v>
      </c>
      <c r="C2" s="2" t="n">
        <v>45313</v>
      </c>
      <c r="D2" s="2" t="n">
        <v>45315</v>
      </c>
      <c r="E2" s="1" t="s">
        <v>14</v>
      </c>
      <c r="F2" s="1" t="n">
        <v>1200</v>
      </c>
      <c r="G2" s="3" t="n">
        <v>1200</v>
      </c>
      <c r="H2" s="3"/>
      <c r="I2" s="1" t="s">
        <v>15</v>
      </c>
      <c r="L2" s="1" t="str">
        <f aca="false">IFERROR(G2/J2,"")</f>
        <v/>
      </c>
    </row>
    <row r="3" customFormat="false" ht="13.8" hidden="false" customHeight="false" outlineLevel="0" collapsed="false">
      <c r="A3" s="1" t="s">
        <v>12</v>
      </c>
      <c r="B3" s="1" t="s">
        <v>13</v>
      </c>
      <c r="C3" s="2" t="n">
        <v>45308</v>
      </c>
      <c r="D3" s="2" t="n">
        <v>45318</v>
      </c>
      <c r="E3" s="1" t="s">
        <v>16</v>
      </c>
      <c r="F3" s="1" t="n">
        <v>16025.21</v>
      </c>
      <c r="G3" s="3" t="n">
        <v>16025.21</v>
      </c>
      <c r="H3" s="3"/>
      <c r="I3" s="1" t="s">
        <v>15</v>
      </c>
      <c r="L3" s="1" t="str">
        <f aca="false">IFERROR(G3/J3,"")</f>
        <v/>
      </c>
    </row>
    <row r="4" customFormat="false" ht="13.8" hidden="false" customHeight="false" outlineLevel="0" collapsed="false">
      <c r="A4" s="1" t="s">
        <v>17</v>
      </c>
      <c r="B4" s="1" t="s">
        <v>13</v>
      </c>
      <c r="C4" s="2" t="n">
        <v>45293</v>
      </c>
      <c r="D4" s="2" t="n">
        <v>45319</v>
      </c>
      <c r="E4" s="1" t="s">
        <v>18</v>
      </c>
      <c r="F4" s="1" t="n">
        <v>5400</v>
      </c>
      <c r="G4" s="3" t="n">
        <v>5400</v>
      </c>
      <c r="H4" s="3"/>
      <c r="I4" s="1" t="s">
        <v>19</v>
      </c>
      <c r="L4" s="1" t="str">
        <f aca="false">IFERROR(G4/J4,"")</f>
        <v/>
      </c>
    </row>
    <row r="5" customFormat="false" ht="13.8" hidden="false" customHeight="false" outlineLevel="0" collapsed="false">
      <c r="A5" s="1" t="s">
        <v>12</v>
      </c>
      <c r="B5" s="1" t="s">
        <v>13</v>
      </c>
      <c r="C5" s="2" t="n">
        <v>45293</v>
      </c>
      <c r="D5" s="2" t="n">
        <v>45322</v>
      </c>
      <c r="E5" s="1" t="s">
        <v>20</v>
      </c>
      <c r="F5" s="1" t="n">
        <v>5500</v>
      </c>
      <c r="G5" s="3" t="n">
        <v>5500</v>
      </c>
      <c r="H5" s="3"/>
      <c r="I5" s="1" t="s">
        <v>15</v>
      </c>
      <c r="L5" s="1" t="str">
        <f aca="false">IFERROR(G5/J5,"")</f>
        <v/>
      </c>
    </row>
    <row r="6" customFormat="false" ht="13.8" hidden="false" customHeight="false" outlineLevel="0" collapsed="false">
      <c r="A6" s="1" t="s">
        <v>12</v>
      </c>
      <c r="B6" s="1" t="s">
        <v>13</v>
      </c>
      <c r="C6" s="2" t="n">
        <v>45294</v>
      </c>
      <c r="D6" s="2" t="n">
        <v>45322</v>
      </c>
      <c r="E6" s="1" t="s">
        <v>21</v>
      </c>
      <c r="F6" s="1" t="n">
        <v>6970.54</v>
      </c>
      <c r="G6" s="3" t="n">
        <v>6970.54</v>
      </c>
      <c r="H6" s="3"/>
      <c r="I6" s="1" t="s">
        <v>15</v>
      </c>
      <c r="L6" s="1" t="str">
        <f aca="false">IFERROR(G6/J6,"")</f>
        <v/>
      </c>
    </row>
    <row r="7" customFormat="false" ht="13.8" hidden="false" customHeight="false" outlineLevel="0" collapsed="false">
      <c r="A7" s="1" t="s">
        <v>17</v>
      </c>
      <c r="B7" s="1" t="s">
        <v>13</v>
      </c>
      <c r="C7" s="2" t="n">
        <v>45295</v>
      </c>
      <c r="D7" s="2" t="n">
        <v>45322</v>
      </c>
      <c r="E7" s="1" t="s">
        <v>20</v>
      </c>
      <c r="F7" s="1" t="n">
        <v>5500</v>
      </c>
      <c r="G7" s="3" t="n">
        <v>5500</v>
      </c>
      <c r="H7" s="3"/>
      <c r="I7" s="1" t="s">
        <v>15</v>
      </c>
      <c r="L7" s="1" t="str">
        <f aca="false">IFERROR(G7/J7,"")</f>
        <v/>
      </c>
    </row>
    <row r="8" customFormat="false" ht="13.8" hidden="false" customHeight="false" outlineLevel="0" collapsed="false">
      <c r="A8" s="1" t="s">
        <v>17</v>
      </c>
      <c r="B8" s="1" t="s">
        <v>13</v>
      </c>
      <c r="C8" s="2" t="n">
        <v>45319</v>
      </c>
      <c r="D8" s="2" t="n">
        <v>45322</v>
      </c>
      <c r="E8" s="1" t="s">
        <v>22</v>
      </c>
      <c r="F8" s="1" t="n">
        <v>1088</v>
      </c>
      <c r="G8" s="3" t="n">
        <v>1088</v>
      </c>
      <c r="H8" s="3"/>
      <c r="I8" s="1" t="s">
        <v>15</v>
      </c>
      <c r="L8" s="1" t="str">
        <f aca="false">IFERROR(G8/J8,"")</f>
        <v/>
      </c>
    </row>
    <row r="9" customFormat="false" ht="13.8" hidden="false" customHeight="false" outlineLevel="0" collapsed="false">
      <c r="A9" s="1" t="s">
        <v>12</v>
      </c>
      <c r="B9" s="1" t="s">
        <v>13</v>
      </c>
      <c r="C9" s="2" t="n">
        <v>45319</v>
      </c>
      <c r="D9" s="2" t="n">
        <v>45322</v>
      </c>
      <c r="E9" s="1" t="s">
        <v>22</v>
      </c>
      <c r="F9" s="1" t="n">
        <v>1331.2</v>
      </c>
      <c r="G9" s="3" t="n">
        <v>1331.2</v>
      </c>
      <c r="H9" s="3"/>
      <c r="I9" s="1" t="s">
        <v>15</v>
      </c>
      <c r="L9" s="1" t="str">
        <f aca="false">IFERROR(G9/J9,"")</f>
        <v/>
      </c>
    </row>
    <row r="10" customFormat="false" ht="13.8" hidden="false" customHeight="false" outlineLevel="0" collapsed="false">
      <c r="A10" s="1" t="s">
        <v>17</v>
      </c>
      <c r="B10" s="1" t="s">
        <v>13</v>
      </c>
      <c r="C10" s="2" t="n">
        <v>45299</v>
      </c>
      <c r="D10" s="2" t="n">
        <v>45325</v>
      </c>
      <c r="E10" s="1" t="s">
        <v>23</v>
      </c>
      <c r="F10" s="1" t="n">
        <v>5670</v>
      </c>
      <c r="G10" s="3" t="n">
        <v>5670</v>
      </c>
      <c r="H10" s="3"/>
      <c r="I10" s="1" t="s">
        <v>15</v>
      </c>
      <c r="L10" s="1" t="str">
        <f aca="false">IFERROR(G10/J10,"")</f>
        <v/>
      </c>
    </row>
    <row r="11" customFormat="false" ht="13.8" hidden="false" customHeight="false" outlineLevel="0" collapsed="false">
      <c r="A11" s="1" t="s">
        <v>17</v>
      </c>
      <c r="B11" s="1" t="s">
        <v>13</v>
      </c>
      <c r="C11" s="2" t="n">
        <v>45299</v>
      </c>
      <c r="D11" s="2" t="n">
        <v>45325</v>
      </c>
      <c r="E11" s="1" t="s">
        <v>23</v>
      </c>
      <c r="F11" s="1" t="n">
        <v>5670</v>
      </c>
      <c r="G11" s="3" t="n">
        <v>5670</v>
      </c>
      <c r="H11" s="3"/>
      <c r="I11" s="1" t="s">
        <v>15</v>
      </c>
      <c r="L11" s="1" t="str">
        <f aca="false">IFERROR(G11/J11,"")</f>
        <v/>
      </c>
    </row>
    <row r="12" customFormat="false" ht="13.8" hidden="false" customHeight="false" outlineLevel="0" collapsed="false">
      <c r="A12" s="1" t="s">
        <v>12</v>
      </c>
      <c r="B12" s="1" t="s">
        <v>13</v>
      </c>
      <c r="C12" s="2" t="n">
        <v>45299</v>
      </c>
      <c r="D12" s="2" t="n">
        <v>45325</v>
      </c>
      <c r="E12" s="1" t="s">
        <v>23</v>
      </c>
      <c r="F12" s="1" t="n">
        <v>4762.8</v>
      </c>
      <c r="G12" s="3" t="n">
        <v>4762.8</v>
      </c>
      <c r="H12" s="3"/>
      <c r="I12" s="1" t="s">
        <v>15</v>
      </c>
      <c r="L12" s="1" t="str">
        <f aca="false">IFERROR(G12/J12,"")</f>
        <v/>
      </c>
    </row>
    <row r="13" customFormat="false" ht="13.8" hidden="false" customHeight="false" outlineLevel="0" collapsed="false">
      <c r="A13" s="1" t="s">
        <v>12</v>
      </c>
      <c r="B13" s="1" t="s">
        <v>13</v>
      </c>
      <c r="C13" s="2" t="n">
        <v>45299</v>
      </c>
      <c r="D13" s="2" t="n">
        <v>45325</v>
      </c>
      <c r="E13" s="1" t="s">
        <v>23</v>
      </c>
      <c r="F13" s="1" t="n">
        <v>4762.8</v>
      </c>
      <c r="G13" s="3" t="n">
        <v>4762.8</v>
      </c>
      <c r="H13" s="3"/>
      <c r="I13" s="1" t="s">
        <v>15</v>
      </c>
      <c r="L13" s="1" t="str">
        <f aca="false">IFERROR(G13/J13,"")</f>
        <v/>
      </c>
    </row>
    <row r="14" customFormat="false" ht="13.8" hidden="false" customHeight="false" outlineLevel="0" collapsed="false">
      <c r="A14" s="1" t="s">
        <v>12</v>
      </c>
      <c r="B14" s="1" t="s">
        <v>13</v>
      </c>
      <c r="C14" s="2" t="n">
        <v>44938</v>
      </c>
      <c r="D14" s="2" t="n">
        <v>45333</v>
      </c>
      <c r="E14" s="1" t="s">
        <v>24</v>
      </c>
      <c r="F14" s="1" t="n">
        <v>1650.55</v>
      </c>
      <c r="G14" s="3" t="n">
        <v>1650.55</v>
      </c>
      <c r="H14" s="3"/>
      <c r="I14" s="1" t="s">
        <v>15</v>
      </c>
      <c r="L14" s="1" t="str">
        <f aca="false">IFERROR(G14/J14,"")</f>
        <v/>
      </c>
    </row>
    <row r="15" customFormat="false" ht="13.8" hidden="false" customHeight="false" outlineLevel="0" collapsed="false">
      <c r="A15" s="1" t="s">
        <v>12</v>
      </c>
      <c r="B15" s="1" t="s">
        <v>13</v>
      </c>
      <c r="C15" s="2" t="n">
        <v>45303</v>
      </c>
      <c r="D15" s="2" t="n">
        <v>45333</v>
      </c>
      <c r="E15" s="1" t="s">
        <v>24</v>
      </c>
      <c r="F15" s="1" t="n">
        <v>1650</v>
      </c>
      <c r="G15" s="3" t="n">
        <v>1650</v>
      </c>
      <c r="H15" s="3"/>
      <c r="I15" s="1" t="s">
        <v>15</v>
      </c>
      <c r="L15" s="1" t="str">
        <f aca="false">IFERROR(G15/J15,"")</f>
        <v/>
      </c>
    </row>
    <row r="16" customFormat="false" ht="13.8" hidden="false" customHeight="false" outlineLevel="0" collapsed="false">
      <c r="A16" s="1" t="s">
        <v>17</v>
      </c>
      <c r="B16" s="1" t="s">
        <v>25</v>
      </c>
      <c r="C16" s="2" t="n">
        <v>45323</v>
      </c>
      <c r="D16" s="2" t="n">
        <v>45333</v>
      </c>
      <c r="E16" s="1" t="s">
        <v>22</v>
      </c>
      <c r="F16" s="1" t="n">
        <v>2992</v>
      </c>
      <c r="G16" s="3" t="n">
        <v>2992</v>
      </c>
      <c r="H16" s="3"/>
      <c r="I16" s="1" t="s">
        <v>15</v>
      </c>
      <c r="L16" s="1" t="str">
        <f aca="false">IFERROR(G16/J16,"")</f>
        <v/>
      </c>
    </row>
    <row r="17" customFormat="false" ht="13.8" hidden="false" customHeight="false" outlineLevel="0" collapsed="false">
      <c r="A17" s="1" t="s">
        <v>12</v>
      </c>
      <c r="B17" s="1" t="s">
        <v>25</v>
      </c>
      <c r="C17" s="2" t="n">
        <v>45323</v>
      </c>
      <c r="D17" s="2" t="n">
        <v>45333</v>
      </c>
      <c r="E17" s="1" t="s">
        <v>22</v>
      </c>
      <c r="F17" s="1" t="n">
        <v>3660.8</v>
      </c>
      <c r="G17" s="3" t="n">
        <v>3660.8</v>
      </c>
      <c r="H17" s="3"/>
      <c r="I17" s="1" t="s">
        <v>15</v>
      </c>
      <c r="L17" s="1" t="str">
        <f aca="false">IFERROR(G17/J17,"")</f>
        <v/>
      </c>
    </row>
    <row r="18" customFormat="false" ht="13.8" hidden="false" customHeight="false" outlineLevel="0" collapsed="false">
      <c r="A18" s="1" t="s">
        <v>17</v>
      </c>
      <c r="B18" s="1" t="s">
        <v>25</v>
      </c>
      <c r="C18" s="2" t="n">
        <v>45327</v>
      </c>
      <c r="D18" s="2" t="n">
        <v>45334</v>
      </c>
      <c r="E18" s="1" t="s">
        <v>26</v>
      </c>
      <c r="F18" s="1" t="n">
        <v>2406.19</v>
      </c>
      <c r="G18" s="3" t="n">
        <v>2406.19</v>
      </c>
      <c r="H18" s="3"/>
      <c r="I18" s="1" t="s">
        <v>15</v>
      </c>
      <c r="L18" s="1" t="str">
        <f aca="false">IFERROR(G18/J18,"")</f>
        <v/>
      </c>
    </row>
    <row r="19" customFormat="false" ht="13.8" hidden="false" customHeight="false" outlineLevel="0" collapsed="false">
      <c r="A19" s="1" t="s">
        <v>17</v>
      </c>
      <c r="B19" s="1" t="s">
        <v>13</v>
      </c>
      <c r="C19" s="2" t="n">
        <v>45309</v>
      </c>
      <c r="D19" s="2" t="n">
        <v>45339</v>
      </c>
      <c r="E19" s="1" t="s">
        <v>27</v>
      </c>
      <c r="F19" s="1" t="n">
        <v>3600</v>
      </c>
      <c r="G19" s="3" t="n">
        <v>3600</v>
      </c>
      <c r="H19" s="3"/>
      <c r="I19" s="1" t="s">
        <v>15</v>
      </c>
      <c r="L19" s="1" t="str">
        <f aca="false">IFERROR(G19/J19,"")</f>
        <v/>
      </c>
    </row>
    <row r="20" customFormat="false" ht="13.8" hidden="false" customHeight="false" outlineLevel="0" collapsed="false">
      <c r="A20" s="1" t="s">
        <v>12</v>
      </c>
      <c r="B20" s="1" t="s">
        <v>25</v>
      </c>
      <c r="C20" s="2" t="n">
        <v>45335</v>
      </c>
      <c r="D20" s="2" t="n">
        <v>45339</v>
      </c>
      <c r="E20" s="1" t="s">
        <v>28</v>
      </c>
      <c r="F20" s="1" t="n">
        <v>5756.16</v>
      </c>
      <c r="G20" s="3" t="n">
        <v>5756.16</v>
      </c>
      <c r="H20" s="3"/>
      <c r="I20" s="1" t="s">
        <v>15</v>
      </c>
      <c r="L20" s="1" t="str">
        <f aca="false">IFERROR(G20/J20,"")</f>
        <v/>
      </c>
    </row>
    <row r="21" customFormat="false" ht="13.8" hidden="false" customHeight="false" outlineLevel="0" collapsed="false">
      <c r="A21" s="1" t="s">
        <v>12</v>
      </c>
      <c r="B21" s="1" t="s">
        <v>25</v>
      </c>
      <c r="C21" s="2" t="n">
        <v>45341</v>
      </c>
      <c r="D21" s="2" t="n">
        <v>45342</v>
      </c>
      <c r="E21" s="1" t="s">
        <v>29</v>
      </c>
      <c r="F21" s="1" t="n">
        <v>634.18</v>
      </c>
      <c r="G21" s="1" t="n">
        <v>634.18</v>
      </c>
      <c r="I21" s="1" t="s">
        <v>15</v>
      </c>
      <c r="L21" s="1" t="str">
        <f aca="false">IFERROR(G21/J21,"")</f>
        <v/>
      </c>
    </row>
    <row r="22" customFormat="false" ht="13.8" hidden="false" customHeight="false" outlineLevel="0" collapsed="false">
      <c r="A22" s="1" t="s">
        <v>12</v>
      </c>
      <c r="B22" s="1" t="s">
        <v>25</v>
      </c>
      <c r="C22" s="2" t="n">
        <v>45341</v>
      </c>
      <c r="D22" s="2" t="n">
        <v>45342</v>
      </c>
      <c r="E22" s="1" t="s">
        <v>29</v>
      </c>
      <c r="F22" s="1" t="n">
        <v>634.18</v>
      </c>
      <c r="G22" s="1" t="n">
        <v>634.18</v>
      </c>
      <c r="I22" s="1" t="s">
        <v>15</v>
      </c>
      <c r="L22" s="1" t="str">
        <f aca="false">IFERROR(G22/J22,"")</f>
        <v/>
      </c>
    </row>
    <row r="23" customFormat="false" ht="13.8" hidden="false" customHeight="false" outlineLevel="0" collapsed="false">
      <c r="A23" s="1" t="s">
        <v>12</v>
      </c>
      <c r="B23" s="1" t="s">
        <v>25</v>
      </c>
      <c r="C23" s="2" t="n">
        <v>45341</v>
      </c>
      <c r="D23" s="2" t="n">
        <v>45342</v>
      </c>
      <c r="E23" s="1" t="s">
        <v>29</v>
      </c>
      <c r="F23" s="1" t="n">
        <v>634.19</v>
      </c>
      <c r="G23" s="1" t="n">
        <v>634.19</v>
      </c>
      <c r="I23" s="1" t="s">
        <v>15</v>
      </c>
      <c r="L23" s="1" t="str">
        <f aca="false">IFERROR(G23/J23,"")</f>
        <v/>
      </c>
    </row>
    <row r="24" customFormat="false" ht="13.8" hidden="false" customHeight="false" outlineLevel="0" collapsed="false">
      <c r="A24" s="1" t="s">
        <v>12</v>
      </c>
      <c r="B24" s="1" t="s">
        <v>25</v>
      </c>
      <c r="C24" s="2" t="n">
        <v>45327</v>
      </c>
      <c r="D24" s="2" t="n">
        <v>45346</v>
      </c>
      <c r="E24" s="1" t="s">
        <v>30</v>
      </c>
      <c r="F24" s="1" t="n">
        <v>24076.91</v>
      </c>
      <c r="G24" s="3" t="n">
        <v>24076.91</v>
      </c>
      <c r="H24" s="3"/>
      <c r="I24" s="1" t="s">
        <v>15</v>
      </c>
      <c r="L24" s="1" t="str">
        <f aca="false">IFERROR(G24/J24,"")</f>
        <v/>
      </c>
    </row>
    <row r="25" customFormat="false" ht="13.8" hidden="false" customHeight="false" outlineLevel="0" collapsed="false">
      <c r="A25" s="1" t="s">
        <v>12</v>
      </c>
      <c r="B25" s="1" t="s">
        <v>25</v>
      </c>
      <c r="C25" s="2" t="n">
        <v>45338</v>
      </c>
      <c r="D25" s="2" t="n">
        <v>45349</v>
      </c>
      <c r="E25" s="1" t="s">
        <v>16</v>
      </c>
      <c r="F25" s="1" t="n">
        <v>16025.21</v>
      </c>
      <c r="G25" s="3" t="n">
        <v>16025.21</v>
      </c>
      <c r="H25" s="3"/>
      <c r="I25" s="1" t="s">
        <v>15</v>
      </c>
      <c r="L25" s="1" t="str">
        <f aca="false">IFERROR(G25/J25,"")</f>
        <v/>
      </c>
    </row>
    <row r="26" customFormat="false" ht="13.8" hidden="false" customHeight="false" outlineLevel="0" collapsed="false">
      <c r="A26" s="1" t="s">
        <v>17</v>
      </c>
      <c r="B26" s="1" t="s">
        <v>25</v>
      </c>
      <c r="C26" s="2" t="n">
        <v>45343</v>
      </c>
      <c r="D26" s="2" t="n">
        <v>45350</v>
      </c>
      <c r="E26" s="1" t="s">
        <v>31</v>
      </c>
      <c r="F26" s="1" t="n">
        <v>2504.21</v>
      </c>
      <c r="G26" s="3" t="n">
        <v>2504.21</v>
      </c>
      <c r="H26" s="3"/>
      <c r="I26" s="1" t="s">
        <v>19</v>
      </c>
      <c r="L26" s="1" t="str">
        <f aca="false">IFERROR(G26/J26,"")</f>
        <v/>
      </c>
    </row>
    <row r="27" customFormat="false" ht="13.8" hidden="false" customHeight="false" outlineLevel="0" collapsed="false">
      <c r="A27" s="1" t="s">
        <v>12</v>
      </c>
      <c r="B27" s="1" t="s">
        <v>25</v>
      </c>
      <c r="C27" s="2" t="n">
        <v>45343</v>
      </c>
      <c r="D27" s="2" t="n">
        <v>45350</v>
      </c>
      <c r="E27" s="1" t="s">
        <v>31</v>
      </c>
      <c r="F27" s="1" t="n">
        <v>1273.79</v>
      </c>
      <c r="G27" s="3" t="n">
        <v>1273.79</v>
      </c>
      <c r="H27" s="3"/>
      <c r="I27" s="1" t="s">
        <v>19</v>
      </c>
      <c r="L27" s="1" t="str">
        <f aca="false">IFERROR(G27/J27,"")</f>
        <v/>
      </c>
    </row>
    <row r="28" customFormat="false" ht="13.8" hidden="false" customHeight="false" outlineLevel="0" collapsed="false">
      <c r="A28" s="1" t="s">
        <v>17</v>
      </c>
      <c r="B28" s="1" t="s">
        <v>25</v>
      </c>
      <c r="C28" s="2" t="n">
        <v>45323</v>
      </c>
      <c r="D28" s="2" t="n">
        <v>45351</v>
      </c>
      <c r="E28" s="1" t="s">
        <v>20</v>
      </c>
      <c r="F28" s="1" t="n">
        <v>5775</v>
      </c>
      <c r="G28" s="3" t="n">
        <v>5775</v>
      </c>
      <c r="H28" s="3"/>
      <c r="I28" s="1" t="s">
        <v>15</v>
      </c>
      <c r="L28" s="1" t="str">
        <f aca="false">IFERROR(G28/J28,"")</f>
        <v/>
      </c>
    </row>
    <row r="29" customFormat="false" ht="13.8" hidden="false" customHeight="false" outlineLevel="0" collapsed="false">
      <c r="A29" s="1" t="s">
        <v>17</v>
      </c>
      <c r="B29" s="1" t="s">
        <v>25</v>
      </c>
      <c r="C29" s="2" t="n">
        <v>45323</v>
      </c>
      <c r="D29" s="2" t="n">
        <v>45351</v>
      </c>
      <c r="E29" s="1" t="s">
        <v>20</v>
      </c>
      <c r="F29" s="1" t="n">
        <v>5500</v>
      </c>
      <c r="G29" s="3" t="n">
        <v>5500</v>
      </c>
      <c r="H29" s="3"/>
      <c r="I29" s="1" t="s">
        <v>15</v>
      </c>
      <c r="L29" s="1" t="str">
        <f aca="false">IFERROR(G29/J29,"")</f>
        <v/>
      </c>
    </row>
    <row r="30" customFormat="false" ht="13.8" hidden="false" customHeight="false" outlineLevel="0" collapsed="false">
      <c r="A30" s="1" t="s">
        <v>17</v>
      </c>
      <c r="B30" s="1" t="s">
        <v>25</v>
      </c>
      <c r="C30" s="2" t="n">
        <v>45323</v>
      </c>
      <c r="D30" s="2" t="n">
        <v>45351</v>
      </c>
      <c r="E30" s="1" t="s">
        <v>20</v>
      </c>
      <c r="F30" s="1" t="n">
        <v>1361</v>
      </c>
      <c r="G30" s="3" t="n">
        <v>1361</v>
      </c>
      <c r="H30" s="3"/>
      <c r="I30" s="1" t="s">
        <v>15</v>
      </c>
      <c r="L30" s="1" t="str">
        <f aca="false">IFERROR(G30/J30,"")</f>
        <v/>
      </c>
    </row>
    <row r="31" customFormat="false" ht="13.8" hidden="false" customHeight="false" outlineLevel="0" collapsed="false">
      <c r="A31" s="1" t="s">
        <v>17</v>
      </c>
      <c r="B31" s="1" t="s">
        <v>25</v>
      </c>
      <c r="C31" s="2" t="n">
        <v>45328</v>
      </c>
      <c r="D31" s="2" t="n">
        <v>45351</v>
      </c>
      <c r="E31" s="1" t="s">
        <v>32</v>
      </c>
      <c r="F31" s="1" t="n">
        <v>3060</v>
      </c>
      <c r="G31" s="3" t="n">
        <v>3060</v>
      </c>
      <c r="H31" s="3"/>
      <c r="I31" s="1" t="s">
        <v>15</v>
      </c>
      <c r="L31" s="1" t="str">
        <f aca="false">IFERROR(G31/J31,"")</f>
        <v/>
      </c>
    </row>
    <row r="32" customFormat="false" ht="13.8" hidden="false" customHeight="false" outlineLevel="0" collapsed="false">
      <c r="A32" s="1" t="s">
        <v>12</v>
      </c>
      <c r="B32" s="1" t="s">
        <v>25</v>
      </c>
      <c r="C32" s="2" t="n">
        <v>45348</v>
      </c>
      <c r="D32" s="2" t="n">
        <v>45351</v>
      </c>
      <c r="E32" s="1" t="s">
        <v>30</v>
      </c>
      <c r="F32" s="1" t="n">
        <v>11872.1</v>
      </c>
      <c r="G32" s="3" t="n">
        <v>11872.1</v>
      </c>
      <c r="H32" s="3"/>
      <c r="I32" s="1" t="s">
        <v>15</v>
      </c>
      <c r="L32" s="1" t="str">
        <f aca="false">IFERROR(G32/J32,"")</f>
        <v/>
      </c>
    </row>
    <row r="33" customFormat="false" ht="13.8" hidden="false" customHeight="false" outlineLevel="0" collapsed="false">
      <c r="A33" s="1" t="s">
        <v>17</v>
      </c>
      <c r="B33" s="1" t="s">
        <v>25</v>
      </c>
      <c r="C33" s="2" t="n">
        <v>45351</v>
      </c>
      <c r="D33" s="2" t="n">
        <v>45352</v>
      </c>
      <c r="E33" s="1" t="s">
        <v>31</v>
      </c>
      <c r="F33" s="1" t="n">
        <v>795</v>
      </c>
      <c r="G33" s="1" t="n">
        <v>795</v>
      </c>
      <c r="I33" s="1" t="s">
        <v>19</v>
      </c>
      <c r="L33" s="1" t="str">
        <f aca="false">IFERROR(G33/J33,"")</f>
        <v/>
      </c>
    </row>
    <row r="34" customFormat="false" ht="13.8" hidden="false" customHeight="false" outlineLevel="0" collapsed="false">
      <c r="A34" s="1" t="s">
        <v>12</v>
      </c>
      <c r="B34" s="1" t="s">
        <v>25</v>
      </c>
      <c r="C34" s="2" t="n">
        <v>45351</v>
      </c>
      <c r="D34" s="2" t="n">
        <v>45352</v>
      </c>
      <c r="E34" s="1" t="s">
        <v>31</v>
      </c>
      <c r="F34" s="1" t="n">
        <v>298.05</v>
      </c>
      <c r="G34" s="1" t="n">
        <v>298.05</v>
      </c>
      <c r="I34" s="1" t="s">
        <v>19</v>
      </c>
      <c r="L34" s="1" t="str">
        <f aca="false">IFERROR(G34/J34,"")</f>
        <v/>
      </c>
    </row>
    <row r="35" customFormat="false" ht="13.8" hidden="false" customHeight="false" outlineLevel="0" collapsed="false">
      <c r="A35" s="1" t="s">
        <v>17</v>
      </c>
      <c r="B35" s="1" t="s">
        <v>25</v>
      </c>
      <c r="C35" s="2" t="n">
        <v>45348</v>
      </c>
      <c r="D35" s="2" t="n">
        <v>45354</v>
      </c>
      <c r="E35" s="1" t="s">
        <v>33</v>
      </c>
      <c r="F35" s="1" t="n">
        <v>3272.22</v>
      </c>
      <c r="G35" s="3" t="n">
        <v>3272.22</v>
      </c>
      <c r="H35" s="3"/>
      <c r="I35" s="1" t="s">
        <v>15</v>
      </c>
      <c r="L35" s="1" t="str">
        <f aca="false">IFERROR(G35/J35,"")</f>
        <v/>
      </c>
    </row>
    <row r="36" customFormat="false" ht="13.8" hidden="false" customHeight="false" outlineLevel="0" collapsed="false">
      <c r="A36" s="1" t="s">
        <v>12</v>
      </c>
      <c r="B36" s="1" t="s">
        <v>34</v>
      </c>
      <c r="C36" s="2" t="n">
        <v>45355</v>
      </c>
      <c r="D36" s="2" t="n">
        <v>45356</v>
      </c>
      <c r="E36" s="1" t="s">
        <v>29</v>
      </c>
      <c r="F36" s="1" t="n">
        <v>887.86</v>
      </c>
      <c r="G36" s="1" t="n">
        <v>887.86</v>
      </c>
      <c r="I36" s="1" t="s">
        <v>15</v>
      </c>
      <c r="L36" s="1" t="str">
        <f aca="false">IFERROR(G36/J36,"")</f>
        <v/>
      </c>
    </row>
    <row r="37" customFormat="false" ht="13.8" hidden="false" customHeight="false" outlineLevel="0" collapsed="false">
      <c r="A37" s="1" t="s">
        <v>12</v>
      </c>
      <c r="B37" s="1" t="s">
        <v>34</v>
      </c>
      <c r="C37" s="2" t="n">
        <v>45355</v>
      </c>
      <c r="D37" s="2" t="n">
        <v>45356</v>
      </c>
      <c r="E37" s="1" t="s">
        <v>29</v>
      </c>
      <c r="F37" s="1" t="n">
        <v>887.86</v>
      </c>
      <c r="G37" s="1" t="n">
        <v>887.86</v>
      </c>
      <c r="I37" s="1" t="s">
        <v>15</v>
      </c>
      <c r="L37" s="1" t="str">
        <f aca="false">IFERROR(G37/J37,"")</f>
        <v/>
      </c>
    </row>
    <row r="38" customFormat="false" ht="13.8" hidden="false" customHeight="false" outlineLevel="0" collapsed="false">
      <c r="A38" s="1" t="s">
        <v>12</v>
      </c>
      <c r="B38" s="1" t="s">
        <v>34</v>
      </c>
      <c r="C38" s="2" t="n">
        <v>45355</v>
      </c>
      <c r="D38" s="2" t="n">
        <v>45356</v>
      </c>
      <c r="E38" s="1" t="s">
        <v>29</v>
      </c>
      <c r="F38" s="1" t="n">
        <v>887.87</v>
      </c>
      <c r="G38" s="1" t="n">
        <v>887.87</v>
      </c>
      <c r="I38" s="1" t="s">
        <v>15</v>
      </c>
      <c r="L38" s="1" t="str">
        <f aca="false">IFERROR(G38/J38,"")</f>
        <v/>
      </c>
    </row>
    <row r="39" customFormat="false" ht="13.8" hidden="false" customHeight="false" outlineLevel="0" collapsed="false">
      <c r="A39" s="1" t="s">
        <v>12</v>
      </c>
      <c r="B39" s="1" t="s">
        <v>34</v>
      </c>
      <c r="C39" s="2" t="n">
        <v>45352</v>
      </c>
      <c r="D39" s="2" t="n">
        <v>45359</v>
      </c>
      <c r="E39" s="1" t="s">
        <v>30</v>
      </c>
      <c r="F39" s="1" t="n">
        <v>9589</v>
      </c>
      <c r="G39" s="3" t="n">
        <v>9589</v>
      </c>
      <c r="H39" s="3"/>
      <c r="I39" s="1" t="s">
        <v>15</v>
      </c>
      <c r="L39" s="1" t="str">
        <f aca="false">IFERROR(G39/J39,"")</f>
        <v/>
      </c>
    </row>
    <row r="40" customFormat="false" ht="13.8" hidden="false" customHeight="false" outlineLevel="0" collapsed="false">
      <c r="A40" s="1" t="s">
        <v>12</v>
      </c>
      <c r="B40" s="1" t="s">
        <v>25</v>
      </c>
      <c r="C40" s="2" t="n">
        <v>45334</v>
      </c>
      <c r="D40" s="2" t="n">
        <v>45362</v>
      </c>
      <c r="E40" s="1" t="s">
        <v>24</v>
      </c>
      <c r="F40" s="1" t="n">
        <v>1650</v>
      </c>
      <c r="G40" s="3" t="n">
        <v>1650</v>
      </c>
      <c r="H40" s="3"/>
      <c r="I40" s="1" t="s">
        <v>15</v>
      </c>
      <c r="L40" s="1" t="str">
        <f aca="false">IFERROR(G40/J40,"")</f>
        <v/>
      </c>
    </row>
    <row r="41" customFormat="false" ht="13.8" hidden="false" customHeight="false" outlineLevel="0" collapsed="false">
      <c r="A41" s="1" t="s">
        <v>12</v>
      </c>
      <c r="B41" s="1" t="s">
        <v>25</v>
      </c>
      <c r="C41" s="2" t="n">
        <v>45334</v>
      </c>
      <c r="D41" s="2" t="n">
        <v>45362</v>
      </c>
      <c r="E41" s="1" t="s">
        <v>24</v>
      </c>
      <c r="F41" s="1" t="n">
        <v>1650</v>
      </c>
      <c r="G41" s="3" t="n">
        <v>1650</v>
      </c>
      <c r="H41" s="3"/>
      <c r="I41" s="1" t="s">
        <v>15</v>
      </c>
      <c r="L41" s="1" t="str">
        <f aca="false">IFERROR(G41/J41,"")</f>
        <v/>
      </c>
    </row>
    <row r="42" customFormat="false" ht="13.8" hidden="false" customHeight="false" outlineLevel="0" collapsed="false">
      <c r="A42" s="1" t="s">
        <v>12</v>
      </c>
      <c r="B42" s="1" t="s">
        <v>34</v>
      </c>
      <c r="C42" s="2" t="n">
        <v>45357</v>
      </c>
      <c r="D42" s="2" t="n">
        <v>45366</v>
      </c>
      <c r="E42" s="1" t="s">
        <v>35</v>
      </c>
      <c r="F42" s="1" t="n">
        <v>1152</v>
      </c>
      <c r="G42" s="3" t="n">
        <v>1152</v>
      </c>
      <c r="H42" s="3"/>
      <c r="I42" s="1" t="s">
        <v>15</v>
      </c>
      <c r="L42" s="1" t="str">
        <f aca="false">IFERROR(G42/J42,"")</f>
        <v/>
      </c>
    </row>
    <row r="43" customFormat="false" ht="13.8" hidden="false" customHeight="false" outlineLevel="0" collapsed="false">
      <c r="A43" s="1" t="s">
        <v>12</v>
      </c>
      <c r="B43" s="1" t="s">
        <v>34</v>
      </c>
      <c r="C43" s="2" t="n">
        <v>45357</v>
      </c>
      <c r="D43" s="2" t="n">
        <v>45366</v>
      </c>
      <c r="E43" s="1" t="s">
        <v>35</v>
      </c>
      <c r="F43" s="1" t="n">
        <v>2304</v>
      </c>
      <c r="G43" s="3" t="n">
        <v>2304</v>
      </c>
      <c r="H43" s="3"/>
      <c r="I43" s="1" t="s">
        <v>15</v>
      </c>
      <c r="L43" s="1" t="str">
        <f aca="false">IFERROR(G43/J43,"")</f>
        <v/>
      </c>
    </row>
    <row r="44" customFormat="false" ht="13.8" hidden="false" customHeight="false" outlineLevel="0" collapsed="false">
      <c r="A44" s="1" t="s">
        <v>12</v>
      </c>
      <c r="B44" s="1" t="s">
        <v>34</v>
      </c>
      <c r="C44" s="2" t="n">
        <v>45357</v>
      </c>
      <c r="D44" s="2" t="n">
        <v>45366</v>
      </c>
      <c r="E44" s="1" t="s">
        <v>35</v>
      </c>
      <c r="F44" s="1" t="n">
        <v>384</v>
      </c>
      <c r="G44" s="1" t="n">
        <v>384</v>
      </c>
      <c r="I44" s="1" t="s">
        <v>15</v>
      </c>
      <c r="L44" s="1" t="str">
        <f aca="false">IFERROR(G44/J44,"")</f>
        <v/>
      </c>
    </row>
    <row r="45" customFormat="false" ht="13.8" hidden="false" customHeight="false" outlineLevel="0" collapsed="false">
      <c r="A45" s="1" t="s">
        <v>12</v>
      </c>
      <c r="B45" s="1" t="s">
        <v>34</v>
      </c>
      <c r="C45" s="2" t="n">
        <v>45363</v>
      </c>
      <c r="D45" s="2" t="n">
        <v>45367</v>
      </c>
      <c r="E45" s="1" t="s">
        <v>36</v>
      </c>
      <c r="F45" s="1" t="n">
        <v>2400</v>
      </c>
      <c r="G45" s="3" t="n">
        <v>2400</v>
      </c>
      <c r="H45" s="3"/>
      <c r="I45" s="1" t="s">
        <v>15</v>
      </c>
      <c r="L45" s="1" t="str">
        <f aca="false">IFERROR(G45/J45,"")</f>
        <v/>
      </c>
    </row>
    <row r="46" customFormat="false" ht="13.8" hidden="false" customHeight="false" outlineLevel="0" collapsed="false">
      <c r="A46" s="1" t="s">
        <v>17</v>
      </c>
      <c r="B46" s="1" t="s">
        <v>25</v>
      </c>
      <c r="C46" s="2" t="n">
        <v>45340</v>
      </c>
      <c r="D46" s="2" t="n">
        <v>45368</v>
      </c>
      <c r="E46" s="1" t="s">
        <v>27</v>
      </c>
      <c r="F46" s="1" t="n">
        <v>3600</v>
      </c>
      <c r="G46" s="3" t="n">
        <v>3600</v>
      </c>
      <c r="H46" s="3"/>
      <c r="I46" s="1" t="s">
        <v>15</v>
      </c>
      <c r="L46" s="1" t="str">
        <f aca="false">IFERROR(G46/J46,"")</f>
        <v/>
      </c>
    </row>
    <row r="47" customFormat="false" ht="13.8" hidden="false" customHeight="false" outlineLevel="0" collapsed="false">
      <c r="A47" s="1" t="s">
        <v>17</v>
      </c>
      <c r="B47" s="1" t="s">
        <v>34</v>
      </c>
      <c r="C47" s="2" t="n">
        <v>45366</v>
      </c>
      <c r="D47" s="2" t="n">
        <v>45372</v>
      </c>
      <c r="E47" s="1" t="s">
        <v>33</v>
      </c>
      <c r="F47" s="1" t="n">
        <v>3272.22</v>
      </c>
      <c r="G47" s="3" t="n">
        <v>3272.22</v>
      </c>
      <c r="H47" s="3"/>
      <c r="I47" s="1" t="s">
        <v>15</v>
      </c>
      <c r="L47" s="1" t="str">
        <f aca="false">IFERROR(G47/J47,"")</f>
        <v/>
      </c>
    </row>
    <row r="48" customFormat="false" ht="13.8" hidden="false" customHeight="false" outlineLevel="0" collapsed="false">
      <c r="A48" s="1" t="s">
        <v>12</v>
      </c>
      <c r="B48" s="1" t="s">
        <v>34</v>
      </c>
      <c r="C48" s="2" t="n">
        <v>45371</v>
      </c>
      <c r="D48" s="2" t="n">
        <v>45373</v>
      </c>
      <c r="E48" s="1" t="s">
        <v>37</v>
      </c>
      <c r="F48" s="1" t="n">
        <v>735</v>
      </c>
      <c r="G48" s="1" t="n">
        <v>735</v>
      </c>
      <c r="I48" s="1" t="s">
        <v>15</v>
      </c>
      <c r="L48" s="1" t="str">
        <f aca="false">IFERROR(G48/J48,"")</f>
        <v/>
      </c>
    </row>
    <row r="49" customFormat="false" ht="13.8" hidden="false" customHeight="false" outlineLevel="0" collapsed="false">
      <c r="A49" s="1" t="s">
        <v>17</v>
      </c>
      <c r="B49" s="1" t="s">
        <v>34</v>
      </c>
      <c r="C49" s="2" t="n">
        <v>45369</v>
      </c>
      <c r="D49" s="2" t="n">
        <v>45374</v>
      </c>
      <c r="E49" s="1" t="s">
        <v>26</v>
      </c>
      <c r="F49" s="1" t="n">
        <v>2616.74</v>
      </c>
      <c r="G49" s="3" t="n">
        <v>2616.74</v>
      </c>
      <c r="H49" s="3"/>
      <c r="I49" s="1" t="s">
        <v>15</v>
      </c>
      <c r="L49" s="1" t="str">
        <f aca="false">IFERROR(G49/J49,"")</f>
        <v/>
      </c>
    </row>
    <row r="50" customFormat="false" ht="13.8" hidden="false" customHeight="false" outlineLevel="0" collapsed="false">
      <c r="A50" s="1" t="s">
        <v>12</v>
      </c>
      <c r="B50" s="1" t="s">
        <v>34</v>
      </c>
      <c r="C50" s="2" t="n">
        <v>45369</v>
      </c>
      <c r="D50" s="2" t="n">
        <v>45374</v>
      </c>
      <c r="E50" s="1" t="s">
        <v>26</v>
      </c>
      <c r="F50" s="1" t="n">
        <v>2635.52</v>
      </c>
      <c r="G50" s="3" t="n">
        <v>2635.52</v>
      </c>
      <c r="H50" s="3"/>
      <c r="I50" s="1" t="s">
        <v>15</v>
      </c>
      <c r="L50" s="1" t="str">
        <f aca="false">IFERROR(G50/J50,"")</f>
        <v/>
      </c>
    </row>
    <row r="51" customFormat="false" ht="13.8" hidden="false" customHeight="false" outlineLevel="0" collapsed="false">
      <c r="A51" s="1" t="s">
        <v>17</v>
      </c>
      <c r="B51" s="1" t="s">
        <v>34</v>
      </c>
      <c r="C51" s="2" t="n">
        <v>45362</v>
      </c>
      <c r="D51" s="2" t="n">
        <v>45375</v>
      </c>
      <c r="E51" s="1" t="s">
        <v>31</v>
      </c>
      <c r="F51" s="1" t="n">
        <v>3350.39</v>
      </c>
      <c r="G51" s="3" t="n">
        <v>3350.39</v>
      </c>
      <c r="H51" s="3"/>
      <c r="I51" s="1" t="s">
        <v>19</v>
      </c>
      <c r="L51" s="1" t="str">
        <f aca="false">IFERROR(G51/J51,"")</f>
        <v/>
      </c>
    </row>
    <row r="52" customFormat="false" ht="13.8" hidden="false" customHeight="false" outlineLevel="0" collapsed="false">
      <c r="A52" s="1" t="s">
        <v>12</v>
      </c>
      <c r="B52" s="1" t="s">
        <v>34</v>
      </c>
      <c r="C52" s="2" t="n">
        <v>45362</v>
      </c>
      <c r="D52" s="2" t="n">
        <v>45375</v>
      </c>
      <c r="E52" s="1" t="s">
        <v>31</v>
      </c>
      <c r="F52" s="1" t="n">
        <v>2964.08</v>
      </c>
      <c r="G52" s="3" t="n">
        <v>2964.08</v>
      </c>
      <c r="H52" s="3"/>
      <c r="I52" s="1" t="s">
        <v>19</v>
      </c>
      <c r="L52" s="1" t="str">
        <f aca="false">IFERROR(G52/J52,"")</f>
        <v/>
      </c>
    </row>
    <row r="53" customFormat="false" ht="13.8" hidden="false" customHeight="false" outlineLevel="0" collapsed="false">
      <c r="A53" s="1" t="s">
        <v>17</v>
      </c>
      <c r="B53" s="1" t="s">
        <v>34</v>
      </c>
      <c r="C53" s="2" t="n">
        <v>45352</v>
      </c>
      <c r="D53" s="2" t="n">
        <v>45380</v>
      </c>
      <c r="E53" s="1" t="s">
        <v>32</v>
      </c>
      <c r="F53" s="1" t="n">
        <v>3780</v>
      </c>
      <c r="G53" s="3" t="n">
        <v>3780</v>
      </c>
      <c r="H53" s="3"/>
      <c r="I53" s="1" t="s">
        <v>15</v>
      </c>
      <c r="L53" s="1" t="str">
        <f aca="false">IFERROR(G53/J53,"")</f>
        <v/>
      </c>
    </row>
    <row r="54" customFormat="false" ht="13.8" hidden="false" customHeight="false" outlineLevel="0" collapsed="false">
      <c r="A54" s="1" t="s">
        <v>38</v>
      </c>
      <c r="B54" s="1" t="s">
        <v>34</v>
      </c>
      <c r="C54" s="2" t="n">
        <v>45352</v>
      </c>
      <c r="D54" s="2" t="n">
        <v>45380</v>
      </c>
      <c r="E54" s="1" t="s">
        <v>39</v>
      </c>
      <c r="F54" s="1" t="n">
        <v>11471.23</v>
      </c>
      <c r="G54" s="3" t="n">
        <v>11471.23</v>
      </c>
      <c r="H54" s="3"/>
      <c r="I54" s="1" t="s">
        <v>15</v>
      </c>
      <c r="L54" s="1" t="str">
        <f aca="false">IFERROR(G54/J54,"")</f>
        <v/>
      </c>
    </row>
    <row r="55" customFormat="false" ht="13.8" hidden="false" customHeight="false" outlineLevel="0" collapsed="false">
      <c r="A55" s="1" t="s">
        <v>17</v>
      </c>
      <c r="B55" s="1" t="s">
        <v>34</v>
      </c>
      <c r="C55" s="2" t="n">
        <v>45352</v>
      </c>
      <c r="D55" s="2" t="n">
        <v>45382</v>
      </c>
      <c r="E55" s="1" t="s">
        <v>40</v>
      </c>
      <c r="F55" s="1" t="n">
        <v>7500</v>
      </c>
      <c r="G55" s="3" t="n">
        <v>7500</v>
      </c>
      <c r="H55" s="3"/>
      <c r="I55" s="1" t="s">
        <v>15</v>
      </c>
      <c r="L55" s="1" t="str">
        <f aca="false">IFERROR(G55/J55,"")</f>
        <v/>
      </c>
    </row>
    <row r="56" customFormat="false" ht="13.8" hidden="false" customHeight="false" outlineLevel="0" collapsed="false">
      <c r="A56" s="1" t="s">
        <v>12</v>
      </c>
      <c r="B56" s="1" t="s">
        <v>34</v>
      </c>
      <c r="C56" s="2" t="n">
        <v>45352</v>
      </c>
      <c r="D56" s="2" t="n">
        <v>45382</v>
      </c>
      <c r="E56" s="1" t="s">
        <v>40</v>
      </c>
      <c r="F56" s="1" t="n">
        <v>6693.33</v>
      </c>
      <c r="G56" s="3" t="n">
        <v>6693.33</v>
      </c>
      <c r="H56" s="3"/>
      <c r="I56" s="1" t="s">
        <v>15</v>
      </c>
      <c r="L56" s="1" t="str">
        <f aca="false">IFERROR(G56/J56,"")</f>
        <v/>
      </c>
    </row>
    <row r="57" customFormat="false" ht="13.8" hidden="false" customHeight="false" outlineLevel="0" collapsed="false">
      <c r="A57" s="1" t="s">
        <v>12</v>
      </c>
      <c r="B57" s="1" t="s">
        <v>34</v>
      </c>
      <c r="C57" s="2" t="n">
        <v>43901</v>
      </c>
      <c r="D57" s="2" t="n">
        <v>45387</v>
      </c>
      <c r="E57" s="1" t="s">
        <v>41</v>
      </c>
      <c r="F57" s="1" t="n">
        <v>1507</v>
      </c>
      <c r="G57" s="3" t="n">
        <v>1507</v>
      </c>
      <c r="H57" s="3"/>
      <c r="I57" s="1" t="s">
        <v>15</v>
      </c>
      <c r="L57" s="1" t="str">
        <f aca="false">IFERROR(G57/J57,"")</f>
        <v/>
      </c>
    </row>
    <row r="58" customFormat="false" ht="13.8" hidden="false" customHeight="false" outlineLevel="0" collapsed="false">
      <c r="A58" s="1" t="s">
        <v>12</v>
      </c>
      <c r="B58" s="1" t="s">
        <v>34</v>
      </c>
      <c r="C58" s="2" t="n">
        <v>45362</v>
      </c>
      <c r="D58" s="2" t="n">
        <v>45387</v>
      </c>
      <c r="E58" s="1" t="s">
        <v>41</v>
      </c>
      <c r="F58" s="1" t="n">
        <v>1500</v>
      </c>
      <c r="G58" s="3" t="n">
        <v>1500</v>
      </c>
      <c r="H58" s="3"/>
      <c r="I58" s="1" t="s">
        <v>15</v>
      </c>
      <c r="L58" s="1" t="str">
        <f aca="false">IFERROR(G58/J58,"")</f>
        <v/>
      </c>
    </row>
    <row r="59" customFormat="false" ht="13.8" hidden="false" customHeight="false" outlineLevel="0" collapsed="false">
      <c r="A59" s="1" t="s">
        <v>12</v>
      </c>
      <c r="B59" s="1" t="s">
        <v>34</v>
      </c>
      <c r="C59" s="2" t="n">
        <v>45363</v>
      </c>
      <c r="D59" s="2" t="n">
        <v>45393</v>
      </c>
      <c r="E59" s="1" t="s">
        <v>24</v>
      </c>
      <c r="F59" s="1" t="n">
        <v>1650</v>
      </c>
      <c r="G59" s="3" t="n">
        <v>1650</v>
      </c>
      <c r="H59" s="3"/>
      <c r="I59" s="1" t="s">
        <v>15</v>
      </c>
      <c r="L59" s="1" t="str">
        <f aca="false">IFERROR(G59/J59,"")</f>
        <v/>
      </c>
    </row>
    <row r="60" customFormat="false" ht="13.8" hidden="false" customHeight="false" outlineLevel="0" collapsed="false">
      <c r="A60" s="1" t="s">
        <v>12</v>
      </c>
      <c r="B60" s="1" t="s">
        <v>34</v>
      </c>
      <c r="C60" s="2" t="n">
        <v>45363</v>
      </c>
      <c r="D60" s="2" t="n">
        <v>45393</v>
      </c>
      <c r="E60" s="1" t="s">
        <v>24</v>
      </c>
      <c r="F60" s="1" t="n">
        <v>1650</v>
      </c>
      <c r="G60" s="3" t="n">
        <v>1650</v>
      </c>
      <c r="H60" s="3"/>
      <c r="I60" s="1" t="s">
        <v>15</v>
      </c>
      <c r="L60" s="1" t="str">
        <f aca="false">IFERROR(G60/J60,"")</f>
        <v/>
      </c>
    </row>
    <row r="61" customFormat="false" ht="13.8" hidden="false" customHeight="false" outlineLevel="0" collapsed="false">
      <c r="A61" s="1" t="s">
        <v>12</v>
      </c>
      <c r="B61" s="1" t="s">
        <v>34</v>
      </c>
      <c r="C61" s="2" t="n">
        <v>45376</v>
      </c>
      <c r="D61" s="2" t="n">
        <v>45394</v>
      </c>
      <c r="E61" s="1" t="s">
        <v>42</v>
      </c>
      <c r="F61" s="1" t="n">
        <v>3000</v>
      </c>
      <c r="G61" s="3" t="n">
        <v>3000</v>
      </c>
      <c r="H61" s="3"/>
      <c r="I61" s="1" t="s">
        <v>19</v>
      </c>
      <c r="L61" s="1" t="str">
        <f aca="false">IFERROR(G61/J61,"")</f>
        <v/>
      </c>
    </row>
    <row r="62" customFormat="false" ht="13.8" hidden="false" customHeight="false" outlineLevel="0" collapsed="false">
      <c r="A62" s="1" t="s">
        <v>17</v>
      </c>
      <c r="B62" s="1" t="s">
        <v>43</v>
      </c>
      <c r="C62" s="2" t="n">
        <v>45392</v>
      </c>
      <c r="D62" s="2" t="n">
        <v>45398</v>
      </c>
      <c r="E62" s="1" t="s">
        <v>33</v>
      </c>
      <c r="F62" s="1" t="n">
        <v>3281.53</v>
      </c>
      <c r="G62" s="3" t="n">
        <v>3281.53</v>
      </c>
      <c r="H62" s="3"/>
      <c r="I62" s="1" t="s">
        <v>15</v>
      </c>
      <c r="L62" s="1" t="str">
        <f aca="false">IFERROR(G62/J62,"")</f>
        <v/>
      </c>
    </row>
    <row r="63" customFormat="false" ht="13.8" hidden="false" customHeight="false" outlineLevel="0" collapsed="false">
      <c r="A63" s="1" t="s">
        <v>17</v>
      </c>
      <c r="B63" s="1" t="s">
        <v>34</v>
      </c>
      <c r="C63" s="2" t="n">
        <v>45369</v>
      </c>
      <c r="D63" s="2" t="n">
        <v>45399</v>
      </c>
      <c r="E63" s="1" t="s">
        <v>27</v>
      </c>
      <c r="F63" s="1" t="n">
        <v>3600</v>
      </c>
      <c r="G63" s="3" t="n">
        <v>3600</v>
      </c>
      <c r="H63" s="3"/>
      <c r="I63" s="1" t="s">
        <v>15</v>
      </c>
      <c r="L63" s="1" t="str">
        <f aca="false">IFERROR(G63/J63,"")</f>
        <v/>
      </c>
    </row>
    <row r="64" customFormat="false" ht="13.8" hidden="false" customHeight="false" outlineLevel="0" collapsed="false">
      <c r="A64" s="1" t="s">
        <v>17</v>
      </c>
      <c r="B64" s="1" t="s">
        <v>43</v>
      </c>
      <c r="C64" s="2" t="n">
        <v>45393</v>
      </c>
      <c r="D64" s="2" t="n">
        <v>45401</v>
      </c>
      <c r="E64" s="1" t="s">
        <v>44</v>
      </c>
      <c r="F64" s="1" t="n">
        <v>2000</v>
      </c>
      <c r="G64" s="3" t="n">
        <v>2000</v>
      </c>
      <c r="H64" s="3"/>
      <c r="I64" s="1" t="s">
        <v>15</v>
      </c>
      <c r="L64" s="1" t="str">
        <f aca="false">IFERROR(G64/J64,"")</f>
        <v/>
      </c>
    </row>
    <row r="65" customFormat="false" ht="13.8" hidden="false" customHeight="false" outlineLevel="0" collapsed="false">
      <c r="A65" s="1" t="s">
        <v>12</v>
      </c>
      <c r="B65" s="1" t="s">
        <v>43</v>
      </c>
      <c r="C65" s="2" t="n">
        <v>45399</v>
      </c>
      <c r="D65" s="2" t="n">
        <v>45401</v>
      </c>
      <c r="E65" s="1" t="s">
        <v>37</v>
      </c>
      <c r="F65" s="1" t="n">
        <v>735</v>
      </c>
      <c r="G65" s="1" t="n">
        <v>735</v>
      </c>
      <c r="I65" s="1" t="s">
        <v>15</v>
      </c>
      <c r="L65" s="1" t="str">
        <f aca="false">IFERROR(G65/J65,"")</f>
        <v/>
      </c>
    </row>
    <row r="66" customFormat="false" ht="13.8" hidden="false" customHeight="false" outlineLevel="0" collapsed="false">
      <c r="A66" s="1" t="s">
        <v>12</v>
      </c>
      <c r="B66" s="1" t="s">
        <v>43</v>
      </c>
      <c r="C66" s="2" t="n">
        <v>45385</v>
      </c>
      <c r="D66" s="2" t="n">
        <v>45406</v>
      </c>
      <c r="E66" s="1" t="s">
        <v>35</v>
      </c>
      <c r="F66" s="1" t="n">
        <v>1152</v>
      </c>
      <c r="G66" s="3" t="n">
        <v>1152</v>
      </c>
      <c r="H66" s="3"/>
      <c r="I66" s="1" t="s">
        <v>15</v>
      </c>
      <c r="L66" s="1" t="str">
        <f aca="false">IFERROR(G66/J66,"")</f>
        <v/>
      </c>
    </row>
    <row r="67" customFormat="false" ht="13.8" hidden="false" customHeight="false" outlineLevel="0" collapsed="false">
      <c r="A67" s="1" t="s">
        <v>12</v>
      </c>
      <c r="B67" s="1" t="s">
        <v>43</v>
      </c>
      <c r="C67" s="2" t="n">
        <v>45385</v>
      </c>
      <c r="D67" s="2" t="n">
        <v>45406</v>
      </c>
      <c r="E67" s="1" t="s">
        <v>35</v>
      </c>
      <c r="F67" s="1" t="n">
        <v>2304</v>
      </c>
      <c r="G67" s="3" t="n">
        <v>2304</v>
      </c>
      <c r="H67" s="3"/>
      <c r="I67" s="1" t="s">
        <v>15</v>
      </c>
      <c r="L67" s="1" t="str">
        <f aca="false">IFERROR(G67/J67,"")</f>
        <v/>
      </c>
    </row>
    <row r="68" customFormat="false" ht="13.8" hidden="false" customHeight="false" outlineLevel="0" collapsed="false">
      <c r="A68" s="1" t="s">
        <v>12</v>
      </c>
      <c r="B68" s="1" t="s">
        <v>43</v>
      </c>
      <c r="C68" s="2" t="n">
        <v>45385</v>
      </c>
      <c r="D68" s="2" t="n">
        <v>45406</v>
      </c>
      <c r="E68" s="1" t="s">
        <v>35</v>
      </c>
      <c r="F68" s="1" t="n">
        <v>384</v>
      </c>
      <c r="G68" s="1" t="n">
        <v>384</v>
      </c>
      <c r="I68" s="1" t="s">
        <v>15</v>
      </c>
      <c r="L68" s="1" t="str">
        <f aca="false">IFERROR(G68/J68,"")</f>
        <v/>
      </c>
    </row>
    <row r="69" customFormat="false" ht="13.8" hidden="false" customHeight="false" outlineLevel="0" collapsed="false">
      <c r="A69" s="1" t="s">
        <v>12</v>
      </c>
      <c r="B69" s="1" t="s">
        <v>43</v>
      </c>
      <c r="C69" s="2" t="n">
        <v>45407</v>
      </c>
      <c r="D69" s="2" t="n">
        <v>45408</v>
      </c>
      <c r="E69" s="1" t="s">
        <v>45</v>
      </c>
      <c r="F69" s="1" t="n">
        <v>432</v>
      </c>
      <c r="G69" s="1" t="n">
        <v>432</v>
      </c>
      <c r="I69" s="1" t="s">
        <v>15</v>
      </c>
      <c r="L69" s="1" t="str">
        <f aca="false">IFERROR(G69/J69,"")</f>
        <v/>
      </c>
    </row>
    <row r="70" customFormat="false" ht="13.8" hidden="false" customHeight="false" outlineLevel="0" collapsed="false">
      <c r="A70" s="1" t="s">
        <v>17</v>
      </c>
      <c r="B70" s="1" t="s">
        <v>43</v>
      </c>
      <c r="C70" s="2" t="n">
        <v>45397</v>
      </c>
      <c r="D70" s="2" t="n">
        <v>45411</v>
      </c>
      <c r="E70" s="1" t="s">
        <v>46</v>
      </c>
      <c r="F70" s="1" t="n">
        <v>1260</v>
      </c>
      <c r="G70" s="3" t="n">
        <v>1260</v>
      </c>
      <c r="H70" s="3"/>
      <c r="I70" s="1" t="s">
        <v>15</v>
      </c>
      <c r="L70" s="1" t="str">
        <f aca="false">IFERROR(G70/J70,"")</f>
        <v/>
      </c>
    </row>
    <row r="71" customFormat="false" ht="13.8" hidden="false" customHeight="false" outlineLevel="0" collapsed="false">
      <c r="A71" s="1" t="s">
        <v>17</v>
      </c>
      <c r="B71" s="1" t="s">
        <v>43</v>
      </c>
      <c r="C71" s="2" t="n">
        <v>45383</v>
      </c>
      <c r="D71" s="2" t="n">
        <v>45412</v>
      </c>
      <c r="E71" s="1" t="s">
        <v>40</v>
      </c>
      <c r="F71" s="1" t="n">
        <v>3750</v>
      </c>
      <c r="G71" s="3" t="n">
        <v>3750</v>
      </c>
      <c r="H71" s="3"/>
      <c r="I71" s="1" t="s">
        <v>15</v>
      </c>
      <c r="L71" s="1" t="str">
        <f aca="false">IFERROR(G71/J71,"")</f>
        <v/>
      </c>
    </row>
    <row r="72" customFormat="false" ht="13.8" hidden="false" customHeight="false" outlineLevel="0" collapsed="false">
      <c r="A72" s="1" t="s">
        <v>17</v>
      </c>
      <c r="B72" s="1" t="s">
        <v>43</v>
      </c>
      <c r="C72" s="2" t="n">
        <v>45383</v>
      </c>
      <c r="D72" s="2" t="n">
        <v>45412</v>
      </c>
      <c r="E72" s="1" t="s">
        <v>32</v>
      </c>
      <c r="F72" s="1" t="n">
        <v>3960</v>
      </c>
      <c r="G72" s="3" t="n">
        <v>3960</v>
      </c>
      <c r="H72" s="3"/>
      <c r="I72" s="1" t="s">
        <v>15</v>
      </c>
      <c r="L72" s="1" t="str">
        <f aca="false">IFERROR(G72/J72,"")</f>
        <v/>
      </c>
    </row>
    <row r="73" customFormat="false" ht="13.8" hidden="false" customHeight="false" outlineLevel="0" collapsed="false">
      <c r="A73" s="1" t="s">
        <v>17</v>
      </c>
      <c r="B73" s="1" t="s">
        <v>43</v>
      </c>
      <c r="C73" s="2" t="n">
        <v>45383</v>
      </c>
      <c r="D73" s="2" t="n">
        <v>45412</v>
      </c>
      <c r="E73" s="1" t="s">
        <v>47</v>
      </c>
      <c r="F73" s="1" t="n">
        <v>4928</v>
      </c>
      <c r="G73" s="3" t="n">
        <v>4928</v>
      </c>
      <c r="H73" s="3"/>
      <c r="I73" s="1" t="s">
        <v>15</v>
      </c>
      <c r="L73" s="1" t="str">
        <f aca="false">IFERROR(G73/J73,"")</f>
        <v/>
      </c>
    </row>
    <row r="74" customFormat="false" ht="13.8" hidden="false" customHeight="false" outlineLevel="0" collapsed="false">
      <c r="A74" s="1" t="s">
        <v>12</v>
      </c>
      <c r="B74" s="1" t="s">
        <v>43</v>
      </c>
      <c r="C74" s="2" t="n">
        <v>45383</v>
      </c>
      <c r="D74" s="2" t="n">
        <v>45412</v>
      </c>
      <c r="E74" s="1" t="s">
        <v>40</v>
      </c>
      <c r="F74" s="1" t="n">
        <v>3346.67</v>
      </c>
      <c r="G74" s="3" t="n">
        <v>3346.67</v>
      </c>
      <c r="H74" s="3"/>
      <c r="I74" s="1" t="s">
        <v>15</v>
      </c>
      <c r="L74" s="1" t="str">
        <f aca="false">IFERROR(G74/J74,"")</f>
        <v/>
      </c>
    </row>
    <row r="75" customFormat="false" ht="13.8" hidden="false" customHeight="false" outlineLevel="0" collapsed="false">
      <c r="A75" s="1" t="s">
        <v>17</v>
      </c>
      <c r="B75" s="1" t="s">
        <v>43</v>
      </c>
      <c r="C75" s="2" t="n">
        <v>45392</v>
      </c>
      <c r="D75" s="2" t="n">
        <v>45412</v>
      </c>
      <c r="E75" s="1" t="s">
        <v>48</v>
      </c>
      <c r="F75" s="1" t="n">
        <v>2613.6</v>
      </c>
      <c r="G75" s="3" t="n">
        <v>2613.6</v>
      </c>
      <c r="H75" s="3"/>
      <c r="I75" s="1" t="s">
        <v>15</v>
      </c>
      <c r="L75" s="1" t="str">
        <f aca="false">IFERROR(G75/J75,"")</f>
        <v/>
      </c>
    </row>
    <row r="76" customFormat="false" ht="13.8" hidden="false" customHeight="false" outlineLevel="0" collapsed="false">
      <c r="A76" s="1" t="s">
        <v>12</v>
      </c>
      <c r="B76" s="1" t="s">
        <v>43</v>
      </c>
      <c r="C76" s="2" t="n">
        <v>45405</v>
      </c>
      <c r="D76" s="2" t="n">
        <v>45412</v>
      </c>
      <c r="E76" s="1" t="s">
        <v>49</v>
      </c>
      <c r="F76" s="1" t="n">
        <v>1221.74</v>
      </c>
      <c r="G76" s="3" t="n">
        <v>1221.74</v>
      </c>
      <c r="H76" s="3"/>
      <c r="I76" s="1" t="s">
        <v>15</v>
      </c>
      <c r="L76" s="1" t="str">
        <f aca="false">IFERROR(G76/J76,"")</f>
        <v/>
      </c>
    </row>
    <row r="77" customFormat="false" ht="13.8" hidden="false" customHeight="false" outlineLevel="0" collapsed="false">
      <c r="A77" s="1" t="s">
        <v>17</v>
      </c>
      <c r="B77" s="1" t="s">
        <v>43</v>
      </c>
      <c r="C77" s="2" t="n">
        <v>45407</v>
      </c>
      <c r="D77" s="2" t="n">
        <v>45412</v>
      </c>
      <c r="E77" s="1" t="s">
        <v>22</v>
      </c>
      <c r="F77" s="1" t="n">
        <v>2496</v>
      </c>
      <c r="G77" s="3" t="n">
        <v>2496</v>
      </c>
      <c r="H77" s="3"/>
      <c r="I77" s="1" t="s">
        <v>15</v>
      </c>
      <c r="L77" s="1" t="str">
        <f aca="false">IFERROR(G77/J77,"")</f>
        <v/>
      </c>
    </row>
    <row r="78" customFormat="false" ht="13.8" hidden="false" customHeight="false" outlineLevel="0" collapsed="false">
      <c r="A78" s="1" t="s">
        <v>12</v>
      </c>
      <c r="B78" s="1" t="s">
        <v>43</v>
      </c>
      <c r="C78" s="2" t="n">
        <v>45407</v>
      </c>
      <c r="D78" s="2" t="n">
        <v>45412</v>
      </c>
      <c r="E78" s="1" t="s">
        <v>22</v>
      </c>
      <c r="F78" s="1" t="n">
        <v>2040</v>
      </c>
      <c r="G78" s="3" t="n">
        <v>2040</v>
      </c>
      <c r="H78" s="3"/>
      <c r="I78" s="1" t="s">
        <v>15</v>
      </c>
      <c r="L78" s="1" t="str">
        <f aca="false">IFERROR(G78/J78,"")</f>
        <v/>
      </c>
    </row>
    <row r="79" customFormat="false" ht="13.8" hidden="false" customHeight="false" outlineLevel="0" collapsed="false">
      <c r="A79" s="1" t="s">
        <v>17</v>
      </c>
      <c r="B79" s="1" t="s">
        <v>43</v>
      </c>
      <c r="C79" s="2" t="n">
        <v>45408</v>
      </c>
      <c r="D79" s="2" t="n">
        <v>45412</v>
      </c>
      <c r="E79" s="1" t="s">
        <v>26</v>
      </c>
      <c r="F79" s="1" t="n">
        <v>1503.87</v>
      </c>
      <c r="G79" s="3" t="n">
        <v>1503.87</v>
      </c>
      <c r="H79" s="3"/>
      <c r="I79" s="1" t="s">
        <v>15</v>
      </c>
      <c r="L79" s="1" t="str">
        <f aca="false">IFERROR(G79/J79,"")</f>
        <v/>
      </c>
    </row>
    <row r="80" customFormat="false" ht="13.8" hidden="false" customHeight="false" outlineLevel="0" collapsed="false">
      <c r="A80" s="1" t="s">
        <v>50</v>
      </c>
      <c r="B80" s="1" t="s">
        <v>51</v>
      </c>
      <c r="C80" s="2" t="n">
        <v>45414</v>
      </c>
      <c r="D80" s="2" t="n">
        <v>45414</v>
      </c>
      <c r="E80" s="1" t="s">
        <v>52</v>
      </c>
      <c r="F80" s="1" t="n">
        <v>2000</v>
      </c>
      <c r="G80" s="3" t="n">
        <v>2000</v>
      </c>
      <c r="H80" s="3"/>
      <c r="I80" s="1" t="s">
        <v>15</v>
      </c>
      <c r="L80" s="1" t="str">
        <f aca="false">IFERROR(G80/J80,"")</f>
        <v/>
      </c>
    </row>
    <row r="81" customFormat="false" ht="13.8" hidden="false" customHeight="false" outlineLevel="0" collapsed="false">
      <c r="A81" s="1" t="s">
        <v>50</v>
      </c>
      <c r="B81" s="1" t="s">
        <v>51</v>
      </c>
      <c r="C81" s="2" t="n">
        <v>45414</v>
      </c>
      <c r="D81" s="2" t="n">
        <v>45414</v>
      </c>
      <c r="E81" s="1" t="s">
        <v>53</v>
      </c>
      <c r="F81" s="1" t="n">
        <v>2500</v>
      </c>
      <c r="G81" s="3" t="n">
        <v>2500</v>
      </c>
      <c r="H81" s="3"/>
      <c r="I81" s="1" t="s">
        <v>15</v>
      </c>
      <c r="L81" s="1" t="str">
        <f aca="false">IFERROR(G81/J81,"")</f>
        <v/>
      </c>
    </row>
    <row r="82" customFormat="false" ht="13.8" hidden="false" customHeight="false" outlineLevel="0" collapsed="false">
      <c r="A82" s="1" t="s">
        <v>50</v>
      </c>
      <c r="B82" s="1" t="s">
        <v>43</v>
      </c>
      <c r="C82" s="2" t="n">
        <v>45401</v>
      </c>
      <c r="D82" s="2" t="n">
        <v>45415</v>
      </c>
      <c r="E82" s="4" t="s">
        <v>54</v>
      </c>
      <c r="F82" s="4" t="n">
        <v>4398.54</v>
      </c>
      <c r="G82" s="3" t="n">
        <v>4398.54</v>
      </c>
      <c r="H82" s="3"/>
      <c r="I82" s="1" t="s">
        <v>15</v>
      </c>
      <c r="L82" s="1" t="str">
        <f aca="false">IFERROR(G82/J82,"")</f>
        <v/>
      </c>
    </row>
    <row r="83" customFormat="false" ht="13.8" hidden="false" customHeight="false" outlineLevel="0" collapsed="false">
      <c r="A83" s="1" t="s">
        <v>50</v>
      </c>
      <c r="B83" s="1" t="s">
        <v>43</v>
      </c>
      <c r="C83" s="2" t="n">
        <v>45401</v>
      </c>
      <c r="D83" s="2" t="n">
        <v>45415</v>
      </c>
      <c r="E83" s="1" t="s">
        <v>55</v>
      </c>
      <c r="F83" s="1" t="n">
        <v>5498</v>
      </c>
      <c r="G83" s="3" t="n">
        <v>5498</v>
      </c>
      <c r="H83" s="3"/>
      <c r="I83" s="1" t="s">
        <v>15</v>
      </c>
      <c r="L83" s="1" t="str">
        <f aca="false">IFERROR(G83/J83,"")</f>
        <v/>
      </c>
    </row>
    <row r="84" customFormat="false" ht="13.8" hidden="false" customHeight="false" outlineLevel="0" collapsed="false">
      <c r="A84" s="1" t="s">
        <v>12</v>
      </c>
      <c r="B84" s="1" t="s">
        <v>43</v>
      </c>
      <c r="C84" s="2" t="n">
        <v>45411</v>
      </c>
      <c r="D84" s="2" t="n">
        <v>45415</v>
      </c>
      <c r="E84" s="1" t="s">
        <v>35</v>
      </c>
      <c r="F84" s="1" t="n">
        <v>960</v>
      </c>
      <c r="G84" s="1" t="n">
        <v>960</v>
      </c>
      <c r="I84" s="1" t="s">
        <v>15</v>
      </c>
      <c r="L84" s="1" t="str">
        <f aca="false">IFERROR(G84/J84,"")</f>
        <v/>
      </c>
    </row>
    <row r="85" customFormat="false" ht="13.8" hidden="false" customHeight="false" outlineLevel="0" collapsed="false">
      <c r="A85" s="1" t="s">
        <v>17</v>
      </c>
      <c r="B85" s="1" t="s">
        <v>51</v>
      </c>
      <c r="C85" s="2" t="n">
        <v>45413</v>
      </c>
      <c r="D85" s="2" t="n">
        <v>45416</v>
      </c>
      <c r="E85" s="1" t="s">
        <v>22</v>
      </c>
      <c r="F85" s="1" t="n">
        <v>1664</v>
      </c>
      <c r="G85" s="3" t="n">
        <v>1664</v>
      </c>
      <c r="H85" s="3"/>
      <c r="I85" s="1" t="s">
        <v>15</v>
      </c>
      <c r="L85" s="1" t="str">
        <f aca="false">IFERROR(G85/J85,"")</f>
        <v/>
      </c>
    </row>
    <row r="86" customFormat="false" ht="13.8" hidden="false" customHeight="false" outlineLevel="0" collapsed="false">
      <c r="A86" s="1" t="s">
        <v>12</v>
      </c>
      <c r="B86" s="1" t="s">
        <v>51</v>
      </c>
      <c r="C86" s="2" t="n">
        <v>45413</v>
      </c>
      <c r="D86" s="2" t="n">
        <v>45416</v>
      </c>
      <c r="E86" s="1" t="s">
        <v>22</v>
      </c>
      <c r="F86" s="1" t="n">
        <v>1360</v>
      </c>
      <c r="G86" s="3" t="n">
        <v>1360</v>
      </c>
      <c r="H86" s="3"/>
      <c r="I86" s="1" t="s">
        <v>15</v>
      </c>
      <c r="L86" s="1" t="str">
        <f aca="false">IFERROR(G86/J86,"")</f>
        <v/>
      </c>
    </row>
    <row r="87" customFormat="false" ht="13.8" hidden="false" customHeight="false" outlineLevel="0" collapsed="false">
      <c r="A87" s="1" t="s">
        <v>17</v>
      </c>
      <c r="B87" s="1" t="s">
        <v>51</v>
      </c>
      <c r="C87" s="2" t="n">
        <v>45415</v>
      </c>
      <c r="D87" s="2" t="n">
        <v>45422</v>
      </c>
      <c r="E87" s="1" t="s">
        <v>56</v>
      </c>
      <c r="F87" s="1" t="n">
        <v>945</v>
      </c>
      <c r="G87" s="1" t="n">
        <v>945</v>
      </c>
      <c r="I87" s="1" t="s">
        <v>15</v>
      </c>
      <c r="L87" s="1" t="str">
        <f aca="false">IFERROR(G87/J87,"")</f>
        <v/>
      </c>
    </row>
    <row r="88" customFormat="false" ht="13.8" hidden="false" customHeight="false" outlineLevel="0" collapsed="false">
      <c r="A88" s="1" t="s">
        <v>17</v>
      </c>
      <c r="B88" s="1" t="s">
        <v>51</v>
      </c>
      <c r="C88" s="2" t="n">
        <v>45413</v>
      </c>
      <c r="D88" s="2" t="n">
        <v>45423</v>
      </c>
      <c r="E88" s="1" t="s">
        <v>26</v>
      </c>
      <c r="F88" s="1" t="n">
        <v>3308.52</v>
      </c>
      <c r="G88" s="3" t="n">
        <v>3308.52</v>
      </c>
      <c r="H88" s="3"/>
      <c r="I88" s="1" t="s">
        <v>15</v>
      </c>
      <c r="L88" s="1" t="str">
        <f aca="false">IFERROR(G88/J88,"")</f>
        <v/>
      </c>
    </row>
    <row r="89" customFormat="false" ht="13.8" hidden="false" customHeight="false" outlineLevel="0" collapsed="false">
      <c r="A89" s="1" t="s">
        <v>17</v>
      </c>
      <c r="B89" s="1" t="s">
        <v>51</v>
      </c>
      <c r="C89" s="2" t="n">
        <v>45415</v>
      </c>
      <c r="D89" s="2" t="n">
        <v>45427</v>
      </c>
      <c r="E89" s="1" t="s">
        <v>33</v>
      </c>
      <c r="F89" s="1" t="n">
        <v>6563.06</v>
      </c>
      <c r="G89" s="3" t="n">
        <v>6563.06</v>
      </c>
      <c r="H89" s="3"/>
      <c r="I89" s="1" t="s">
        <v>15</v>
      </c>
      <c r="L89" s="1" t="str">
        <f aca="false">IFERROR(G89/J89,"")</f>
        <v/>
      </c>
    </row>
    <row r="90" customFormat="false" ht="13.8" hidden="false" customHeight="false" outlineLevel="0" collapsed="false">
      <c r="A90" s="1" t="s">
        <v>12</v>
      </c>
      <c r="B90" s="1" t="s">
        <v>43</v>
      </c>
      <c r="C90" s="2" t="n">
        <v>45399</v>
      </c>
      <c r="D90" s="2" t="n">
        <v>45429</v>
      </c>
      <c r="E90" s="1" t="s">
        <v>57</v>
      </c>
      <c r="F90" s="1" t="n">
        <v>4240</v>
      </c>
      <c r="G90" s="3" t="n">
        <v>4240</v>
      </c>
      <c r="H90" s="3"/>
      <c r="I90" s="1" t="s">
        <v>15</v>
      </c>
      <c r="L90" s="1" t="str">
        <f aca="false">IFERROR(G90/J90,"")</f>
        <v/>
      </c>
    </row>
    <row r="91" customFormat="false" ht="13.8" hidden="false" customHeight="false" outlineLevel="0" collapsed="false">
      <c r="A91" s="1" t="s">
        <v>17</v>
      </c>
      <c r="B91" s="1" t="s">
        <v>43</v>
      </c>
      <c r="C91" s="2" t="n">
        <v>45400</v>
      </c>
      <c r="D91" s="2" t="n">
        <v>45429</v>
      </c>
      <c r="E91" s="1" t="s">
        <v>27</v>
      </c>
      <c r="F91" s="1" t="n">
        <v>3600</v>
      </c>
      <c r="G91" s="3" t="n">
        <v>3600</v>
      </c>
      <c r="H91" s="3"/>
      <c r="I91" s="1" t="s">
        <v>15</v>
      </c>
      <c r="L91" s="1" t="str">
        <f aca="false">IFERROR(G91/J91,"")</f>
        <v/>
      </c>
    </row>
    <row r="92" customFormat="false" ht="13.8" hidden="false" customHeight="false" outlineLevel="0" collapsed="false">
      <c r="A92" s="1" t="s">
        <v>17</v>
      </c>
      <c r="B92" s="1" t="s">
        <v>51</v>
      </c>
      <c r="C92" s="2" t="n">
        <v>45422</v>
      </c>
      <c r="D92" s="2" t="n">
        <v>45429</v>
      </c>
      <c r="E92" s="1" t="s">
        <v>58</v>
      </c>
      <c r="F92" s="1" t="n">
        <v>5000</v>
      </c>
      <c r="G92" s="3" t="n">
        <v>5000</v>
      </c>
      <c r="H92" s="3"/>
      <c r="I92" s="1" t="s">
        <v>19</v>
      </c>
      <c r="L92" s="1" t="str">
        <f aca="false">IFERROR(G92/J92,"")</f>
        <v/>
      </c>
    </row>
    <row r="93" customFormat="false" ht="13.8" hidden="false" customHeight="false" outlineLevel="0" collapsed="false">
      <c r="A93" s="1" t="s">
        <v>17</v>
      </c>
      <c r="B93" s="1" t="s">
        <v>51</v>
      </c>
      <c r="C93" s="2" t="n">
        <v>45422</v>
      </c>
      <c r="D93" s="2" t="n">
        <v>45436</v>
      </c>
      <c r="E93" s="1" t="s">
        <v>44</v>
      </c>
      <c r="F93" s="1" t="n">
        <v>3400</v>
      </c>
      <c r="G93" s="3" t="n">
        <v>3400</v>
      </c>
      <c r="H93" s="3"/>
      <c r="I93" s="1" t="s">
        <v>15</v>
      </c>
      <c r="L93" s="1" t="str">
        <f aca="false">IFERROR(G93/J93,"")</f>
        <v/>
      </c>
    </row>
    <row r="94" customFormat="false" ht="13.8" hidden="false" customHeight="false" outlineLevel="0" collapsed="false">
      <c r="A94" s="1" t="s">
        <v>17</v>
      </c>
      <c r="B94" s="1" t="s">
        <v>51</v>
      </c>
      <c r="C94" s="2" t="n">
        <v>45433</v>
      </c>
      <c r="D94" s="2" t="n">
        <v>45436</v>
      </c>
      <c r="E94" s="1" t="s">
        <v>31</v>
      </c>
      <c r="F94" s="1" t="n">
        <v>3183.65</v>
      </c>
      <c r="G94" s="3" t="n">
        <v>3183.65</v>
      </c>
      <c r="H94" s="3"/>
      <c r="I94" s="1" t="s">
        <v>19</v>
      </c>
      <c r="L94" s="1" t="str">
        <f aca="false">IFERROR(G94/J94,"")</f>
        <v/>
      </c>
    </row>
    <row r="95" customFormat="false" ht="13.8" hidden="false" customHeight="false" outlineLevel="0" collapsed="false">
      <c r="A95" s="1" t="s">
        <v>12</v>
      </c>
      <c r="B95" s="1" t="s">
        <v>51</v>
      </c>
      <c r="C95" s="2" t="n">
        <v>45433</v>
      </c>
      <c r="D95" s="2" t="n">
        <v>45436</v>
      </c>
      <c r="E95" s="1" t="s">
        <v>31</v>
      </c>
      <c r="F95" s="1" t="n">
        <v>984.43</v>
      </c>
      <c r="G95" s="1" t="n">
        <v>984.43</v>
      </c>
      <c r="I95" s="1" t="s">
        <v>19</v>
      </c>
      <c r="L95" s="1" t="str">
        <f aca="false">IFERROR(G95/J95,"")</f>
        <v/>
      </c>
    </row>
    <row r="96" customFormat="false" ht="13.8" hidden="false" customHeight="false" outlineLevel="0" collapsed="false">
      <c r="A96" s="1" t="s">
        <v>17</v>
      </c>
      <c r="B96" s="1" t="s">
        <v>51</v>
      </c>
      <c r="C96" s="2" t="n">
        <v>45413</v>
      </c>
      <c r="D96" s="2" t="n">
        <v>45443</v>
      </c>
      <c r="E96" s="1" t="s">
        <v>46</v>
      </c>
      <c r="F96" s="1" t="n">
        <v>2880</v>
      </c>
      <c r="G96" s="3" t="n">
        <v>2880</v>
      </c>
      <c r="H96" s="3"/>
      <c r="I96" s="1" t="s">
        <v>15</v>
      </c>
      <c r="L96" s="1" t="str">
        <f aca="false">IFERROR(G96/J96,"")</f>
        <v/>
      </c>
    </row>
    <row r="97" customFormat="false" ht="13.8" hidden="false" customHeight="false" outlineLevel="0" collapsed="false">
      <c r="A97" s="1" t="s">
        <v>17</v>
      </c>
      <c r="B97" s="1" t="s">
        <v>51</v>
      </c>
      <c r="C97" s="2" t="n">
        <v>45413</v>
      </c>
      <c r="D97" s="2" t="n">
        <v>45443</v>
      </c>
      <c r="E97" s="1" t="s">
        <v>32</v>
      </c>
      <c r="F97" s="1" t="n">
        <v>4140</v>
      </c>
      <c r="G97" s="3" t="n">
        <v>4140</v>
      </c>
      <c r="H97" s="3"/>
      <c r="I97" s="1" t="s">
        <v>15</v>
      </c>
      <c r="L97" s="1" t="str">
        <f aca="false">IFERROR(G97/J97,"")</f>
        <v/>
      </c>
    </row>
    <row r="98" customFormat="false" ht="13.8" hidden="false" customHeight="false" outlineLevel="0" collapsed="false">
      <c r="A98" s="1" t="s">
        <v>17</v>
      </c>
      <c r="B98" s="1" t="s">
        <v>51</v>
      </c>
      <c r="C98" s="2" t="n">
        <v>45413</v>
      </c>
      <c r="D98" s="2" t="n">
        <v>45443</v>
      </c>
      <c r="E98" s="1" t="s">
        <v>47</v>
      </c>
      <c r="F98" s="1" t="n">
        <v>5152</v>
      </c>
      <c r="G98" s="3" t="n">
        <v>5152</v>
      </c>
      <c r="H98" s="3"/>
      <c r="I98" s="1" t="s">
        <v>15</v>
      </c>
      <c r="L98" s="1" t="str">
        <f aca="false">IFERROR(G98/J98,"")</f>
        <v/>
      </c>
    </row>
    <row r="99" customFormat="false" ht="13.8" hidden="false" customHeight="false" outlineLevel="0" collapsed="false">
      <c r="A99" s="1" t="s">
        <v>12</v>
      </c>
      <c r="B99" s="1" t="s">
        <v>51</v>
      </c>
      <c r="C99" s="2" t="n">
        <v>45413</v>
      </c>
      <c r="D99" s="2" t="n">
        <v>45443</v>
      </c>
      <c r="E99" s="1" t="s">
        <v>49</v>
      </c>
      <c r="F99" s="1" t="n">
        <v>3724</v>
      </c>
      <c r="G99" s="3" t="n">
        <v>3724</v>
      </c>
      <c r="H99" s="3"/>
      <c r="I99" s="1" t="s">
        <v>15</v>
      </c>
      <c r="L99" s="1" t="str">
        <f aca="false">IFERROR(G99/J99,"")</f>
        <v/>
      </c>
    </row>
    <row r="100" customFormat="false" ht="13.8" hidden="false" customHeight="false" outlineLevel="0" collapsed="false">
      <c r="A100" s="1" t="s">
        <v>12</v>
      </c>
      <c r="B100" s="1" t="s">
        <v>51</v>
      </c>
      <c r="C100" s="2" t="n">
        <v>45414</v>
      </c>
      <c r="D100" s="2" t="n">
        <v>45443</v>
      </c>
      <c r="E100" s="1" t="s">
        <v>45</v>
      </c>
      <c r="F100" s="1" t="n">
        <v>2160</v>
      </c>
      <c r="G100" s="3" t="n">
        <v>2160</v>
      </c>
      <c r="H100" s="3"/>
      <c r="I100" s="1" t="s">
        <v>15</v>
      </c>
      <c r="L100" s="1" t="str">
        <f aca="false">IFERROR(G100/J100,"")</f>
        <v/>
      </c>
    </row>
    <row r="101" customFormat="false" ht="13.8" hidden="false" customHeight="false" outlineLevel="0" collapsed="false">
      <c r="A101" s="1" t="s">
        <v>17</v>
      </c>
      <c r="B101" s="1" t="s">
        <v>51</v>
      </c>
      <c r="C101" s="2" t="n">
        <v>45439</v>
      </c>
      <c r="D101" s="2" t="n">
        <v>45443</v>
      </c>
      <c r="E101" s="1" t="s">
        <v>26</v>
      </c>
      <c r="F101" s="1" t="n">
        <v>1503.87</v>
      </c>
      <c r="G101" s="3" t="n">
        <v>1503.87</v>
      </c>
      <c r="H101" s="3"/>
      <c r="I101" s="1" t="s">
        <v>15</v>
      </c>
      <c r="L101" s="1" t="str">
        <f aca="false">IFERROR(G101/J101,"")</f>
        <v/>
      </c>
    </row>
    <row r="102" customFormat="false" ht="13.8" hidden="false" customHeight="false" outlineLevel="0" collapsed="false">
      <c r="A102" s="1" t="s">
        <v>17</v>
      </c>
      <c r="B102" s="1" t="s">
        <v>51</v>
      </c>
      <c r="C102" s="2" t="n">
        <v>45442</v>
      </c>
      <c r="D102" s="2" t="n">
        <v>45443</v>
      </c>
      <c r="E102" s="1" t="s">
        <v>22</v>
      </c>
      <c r="F102" s="1" t="n">
        <v>832</v>
      </c>
      <c r="G102" s="1" t="n">
        <v>832</v>
      </c>
      <c r="I102" s="1" t="s">
        <v>15</v>
      </c>
      <c r="L102" s="1" t="str">
        <f aca="false">IFERROR(G102/J102,"")</f>
        <v/>
      </c>
    </row>
    <row r="103" customFormat="false" ht="13.8" hidden="false" customHeight="false" outlineLevel="0" collapsed="false">
      <c r="A103" s="1" t="s">
        <v>12</v>
      </c>
      <c r="B103" s="1" t="s">
        <v>51</v>
      </c>
      <c r="C103" s="2" t="n">
        <v>45442</v>
      </c>
      <c r="D103" s="2" t="n">
        <v>45443</v>
      </c>
      <c r="E103" s="1" t="s">
        <v>22</v>
      </c>
      <c r="F103" s="1" t="n">
        <v>680</v>
      </c>
      <c r="G103" s="1" t="n">
        <v>680</v>
      </c>
      <c r="I103" s="1" t="s">
        <v>15</v>
      </c>
      <c r="L103" s="1" t="str">
        <f aca="false">IFERROR(G103/J103,"")</f>
        <v/>
      </c>
    </row>
    <row r="104" customFormat="false" ht="13.8" hidden="false" customHeight="false" outlineLevel="0" collapsed="false">
      <c r="A104" s="1" t="s">
        <v>12</v>
      </c>
      <c r="B104" s="1" t="s">
        <v>51</v>
      </c>
      <c r="C104" s="2" t="n">
        <v>45427</v>
      </c>
      <c r="D104" s="2" t="n">
        <v>45445</v>
      </c>
      <c r="E104" s="1" t="s">
        <v>59</v>
      </c>
      <c r="F104" s="1" t="n">
        <v>5000</v>
      </c>
      <c r="G104" s="3" t="n">
        <v>5000</v>
      </c>
      <c r="H104" s="3"/>
      <c r="I104" s="1" t="s">
        <v>15</v>
      </c>
      <c r="L104" s="1" t="str">
        <f aca="false">IFERROR(G104/J104,"")</f>
        <v/>
      </c>
    </row>
    <row r="105" customFormat="false" ht="13.8" hidden="false" customHeight="false" outlineLevel="0" collapsed="false">
      <c r="A105" s="1" t="s">
        <v>17</v>
      </c>
      <c r="B105" s="1" t="s">
        <v>51</v>
      </c>
      <c r="C105" s="2" t="n">
        <v>45441</v>
      </c>
      <c r="D105" s="2" t="n">
        <v>45447</v>
      </c>
      <c r="E105" s="1" t="s">
        <v>33</v>
      </c>
      <c r="F105" s="1" t="n">
        <v>3281.53</v>
      </c>
      <c r="G105" s="3" t="n">
        <v>3281.53</v>
      </c>
      <c r="H105" s="3"/>
      <c r="I105" s="1" t="s">
        <v>15</v>
      </c>
      <c r="L105" s="1" t="str">
        <f aca="false">IFERROR(G105/J105,"")</f>
        <v/>
      </c>
    </row>
    <row r="106" customFormat="false" ht="13.8" hidden="false" customHeight="false" outlineLevel="0" collapsed="false">
      <c r="A106" s="1" t="s">
        <v>17</v>
      </c>
      <c r="B106" s="1" t="s">
        <v>60</v>
      </c>
      <c r="C106" s="2" t="n">
        <v>45444</v>
      </c>
      <c r="D106" s="2" t="n">
        <v>45452</v>
      </c>
      <c r="E106" s="1" t="s">
        <v>22</v>
      </c>
      <c r="F106" s="1" t="n">
        <v>3744</v>
      </c>
      <c r="G106" s="3" t="n">
        <v>3744</v>
      </c>
      <c r="H106" s="3"/>
      <c r="I106" s="1" t="s">
        <v>15</v>
      </c>
      <c r="L106" s="1" t="str">
        <f aca="false">IFERROR(G106/J106,"")</f>
        <v/>
      </c>
    </row>
    <row r="107" customFormat="false" ht="13.8" hidden="false" customHeight="false" outlineLevel="0" collapsed="false">
      <c r="A107" s="1" t="s">
        <v>12</v>
      </c>
      <c r="B107" s="1" t="s">
        <v>60</v>
      </c>
      <c r="C107" s="2" t="n">
        <v>45444</v>
      </c>
      <c r="D107" s="2" t="n">
        <v>45452</v>
      </c>
      <c r="E107" s="1" t="s">
        <v>22</v>
      </c>
      <c r="F107" s="1" t="n">
        <v>3060</v>
      </c>
      <c r="G107" s="3" t="n">
        <v>3060</v>
      </c>
      <c r="H107" s="3"/>
      <c r="I107" s="1" t="s">
        <v>15</v>
      </c>
      <c r="L107" s="1" t="str">
        <f aca="false">IFERROR(G107/J107,"")</f>
        <v/>
      </c>
    </row>
    <row r="108" customFormat="false" ht="13.8" hidden="false" customHeight="false" outlineLevel="0" collapsed="false">
      <c r="A108" s="1" t="s">
        <v>17</v>
      </c>
      <c r="B108" s="1" t="s">
        <v>60</v>
      </c>
      <c r="C108" s="2" t="n">
        <v>45444</v>
      </c>
      <c r="D108" s="2" t="n">
        <v>45454</v>
      </c>
      <c r="E108" s="1" t="s">
        <v>26</v>
      </c>
      <c r="F108" s="1" t="n">
        <v>3308.52</v>
      </c>
      <c r="G108" s="3" t="n">
        <v>3308.52</v>
      </c>
      <c r="H108" s="3"/>
      <c r="I108" s="1" t="s">
        <v>15</v>
      </c>
      <c r="L108" s="1" t="str">
        <f aca="false">IFERROR(G108/J108,"")</f>
        <v/>
      </c>
    </row>
    <row r="109" customFormat="false" ht="13.8" hidden="false" customHeight="false" outlineLevel="0" collapsed="false">
      <c r="A109" s="1" t="s">
        <v>12</v>
      </c>
      <c r="B109" s="1" t="s">
        <v>51</v>
      </c>
      <c r="C109" s="2" t="n">
        <v>45425</v>
      </c>
      <c r="D109" s="2" t="n">
        <v>45455</v>
      </c>
      <c r="E109" s="1" t="s">
        <v>61</v>
      </c>
      <c r="F109" s="1" t="n">
        <v>6500</v>
      </c>
      <c r="G109" s="3" t="n">
        <v>6500</v>
      </c>
      <c r="H109" s="3"/>
      <c r="I109" s="1" t="s">
        <v>15</v>
      </c>
      <c r="L109" s="1" t="str">
        <f aca="false">IFERROR(G109/J109,"")</f>
        <v/>
      </c>
    </row>
    <row r="110" customFormat="false" ht="13.8" hidden="false" customHeight="false" outlineLevel="0" collapsed="false">
      <c r="A110" s="1" t="s">
        <v>12</v>
      </c>
      <c r="B110" s="1" t="s">
        <v>51</v>
      </c>
      <c r="C110" s="2" t="n">
        <v>45429</v>
      </c>
      <c r="D110" s="2" t="n">
        <v>45460</v>
      </c>
      <c r="E110" s="1" t="s">
        <v>57</v>
      </c>
      <c r="F110" s="1" t="n">
        <v>4240</v>
      </c>
      <c r="G110" s="3" t="n">
        <v>4240</v>
      </c>
      <c r="H110" s="3"/>
      <c r="I110" s="1" t="s">
        <v>15</v>
      </c>
      <c r="L110" s="1" t="str">
        <f aca="false">IFERROR(G110/J110,"")</f>
        <v/>
      </c>
    </row>
    <row r="111" customFormat="false" ht="13.8" hidden="false" customHeight="false" outlineLevel="0" collapsed="false">
      <c r="A111" s="1" t="s">
        <v>17</v>
      </c>
      <c r="B111" s="1" t="s">
        <v>51</v>
      </c>
      <c r="C111" s="2" t="n">
        <v>45430</v>
      </c>
      <c r="D111" s="2" t="n">
        <v>45460</v>
      </c>
      <c r="E111" s="1" t="s">
        <v>27</v>
      </c>
      <c r="F111" s="1" t="n">
        <v>3600</v>
      </c>
      <c r="G111" s="3" t="n">
        <v>3600</v>
      </c>
      <c r="H111" s="3"/>
      <c r="I111" s="1" t="s">
        <v>15</v>
      </c>
      <c r="L111" s="1" t="str">
        <f aca="false">IFERROR(G111/J111,"")</f>
        <v/>
      </c>
    </row>
    <row r="112" customFormat="false" ht="13.8" hidden="false" customHeight="false" outlineLevel="0" collapsed="false">
      <c r="A112" s="1" t="s">
        <v>12</v>
      </c>
      <c r="B112" s="1" t="s">
        <v>60</v>
      </c>
      <c r="C112" s="2" t="n">
        <v>45461</v>
      </c>
      <c r="D112" s="2" t="n">
        <v>45461</v>
      </c>
      <c r="E112" s="1" t="s">
        <v>62</v>
      </c>
      <c r="F112" s="1" t="n">
        <v>1200</v>
      </c>
      <c r="G112" s="3" t="n">
        <v>1200</v>
      </c>
      <c r="H112" s="3"/>
      <c r="I112" s="1" t="s">
        <v>15</v>
      </c>
      <c r="L112" s="1" t="str">
        <f aca="false">IFERROR(G112/J112,"")</f>
        <v/>
      </c>
    </row>
    <row r="113" customFormat="false" ht="13.8" hidden="false" customHeight="false" outlineLevel="0" collapsed="false">
      <c r="A113" s="1" t="s">
        <v>17</v>
      </c>
      <c r="B113" s="1" t="s">
        <v>60</v>
      </c>
      <c r="C113" s="2" t="n">
        <v>45461</v>
      </c>
      <c r="D113" s="2" t="n">
        <v>45464</v>
      </c>
      <c r="E113" s="1" t="s">
        <v>63</v>
      </c>
      <c r="F113" s="1" t="n">
        <v>4800</v>
      </c>
      <c r="G113" s="3" t="n">
        <v>4800</v>
      </c>
      <c r="H113" s="3"/>
      <c r="I113" s="1" t="s">
        <v>15</v>
      </c>
      <c r="L113" s="1" t="str">
        <f aca="false">IFERROR(G113/J113,"")</f>
        <v/>
      </c>
    </row>
    <row r="114" customFormat="false" ht="13.8" hidden="false" customHeight="false" outlineLevel="0" collapsed="false">
      <c r="A114" s="1" t="s">
        <v>17</v>
      </c>
      <c r="B114" s="1" t="s">
        <v>60</v>
      </c>
      <c r="C114" s="2" t="n">
        <v>45461</v>
      </c>
      <c r="D114" s="2" t="n">
        <v>45464</v>
      </c>
      <c r="E114" s="1" t="s">
        <v>63</v>
      </c>
      <c r="F114" s="1" t="n">
        <v>1326.74</v>
      </c>
      <c r="G114" s="3" t="n">
        <v>1326.74</v>
      </c>
      <c r="H114" s="3"/>
      <c r="I114" s="1" t="s">
        <v>15</v>
      </c>
      <c r="L114" s="1" t="str">
        <f aca="false">IFERROR(G114/J114,"")</f>
        <v/>
      </c>
    </row>
    <row r="115" customFormat="false" ht="13.8" hidden="false" customHeight="false" outlineLevel="0" collapsed="false">
      <c r="A115" s="1" t="s">
        <v>12</v>
      </c>
      <c r="B115" s="1" t="s">
        <v>60</v>
      </c>
      <c r="C115" s="2" t="n">
        <v>45462</v>
      </c>
      <c r="D115" s="2" t="n">
        <v>45464</v>
      </c>
      <c r="E115" s="1" t="s">
        <v>37</v>
      </c>
      <c r="F115" s="1" t="n">
        <v>1050</v>
      </c>
      <c r="G115" s="3" t="n">
        <v>1050</v>
      </c>
      <c r="H115" s="3"/>
      <c r="I115" s="1" t="s">
        <v>15</v>
      </c>
      <c r="L115" s="1" t="str">
        <f aca="false">IFERROR(G115/J115,"")</f>
        <v/>
      </c>
    </row>
    <row r="116" customFormat="false" ht="13.8" hidden="false" customHeight="false" outlineLevel="0" collapsed="false">
      <c r="A116" s="1" t="s">
        <v>12</v>
      </c>
      <c r="B116" s="1" t="s">
        <v>60</v>
      </c>
      <c r="C116" s="2" t="n">
        <v>45464</v>
      </c>
      <c r="D116" s="2" t="n">
        <v>45465</v>
      </c>
      <c r="E116" s="1" t="s">
        <v>64</v>
      </c>
      <c r="F116" s="1" t="n">
        <v>700</v>
      </c>
      <c r="G116" s="1" t="n">
        <v>700</v>
      </c>
      <c r="I116" s="1" t="s">
        <v>15</v>
      </c>
      <c r="L116" s="1" t="str">
        <f aca="false">IFERROR(G116/J116,"")</f>
        <v/>
      </c>
    </row>
    <row r="117" customFormat="false" ht="13.8" hidden="false" customHeight="false" outlineLevel="0" collapsed="false">
      <c r="A117" s="1" t="s">
        <v>50</v>
      </c>
      <c r="B117" s="1" t="s">
        <v>60</v>
      </c>
      <c r="C117" s="2" t="n">
        <v>45448</v>
      </c>
      <c r="D117" s="2" t="n">
        <v>45467</v>
      </c>
      <c r="E117" s="1" t="s">
        <v>65</v>
      </c>
      <c r="F117" s="1" t="n">
        <v>3000</v>
      </c>
      <c r="G117" s="3" t="n">
        <v>3000</v>
      </c>
      <c r="H117" s="3"/>
      <c r="I117" s="1" t="s">
        <v>15</v>
      </c>
      <c r="L117" s="1" t="str">
        <f aca="false">IFERROR(G117/J117,"")</f>
        <v/>
      </c>
    </row>
    <row r="118" customFormat="false" ht="13.8" hidden="false" customHeight="false" outlineLevel="0" collapsed="false">
      <c r="A118" s="1" t="s">
        <v>50</v>
      </c>
      <c r="B118" s="1" t="s">
        <v>51</v>
      </c>
      <c r="C118" s="2" t="n">
        <v>45433</v>
      </c>
      <c r="D118" s="2" t="n">
        <v>45468</v>
      </c>
      <c r="E118" s="1" t="s">
        <v>56</v>
      </c>
      <c r="F118" s="1" t="n">
        <v>6500</v>
      </c>
      <c r="G118" s="3" t="n">
        <v>6500</v>
      </c>
      <c r="H118" s="3"/>
      <c r="I118" s="1" t="s">
        <v>15</v>
      </c>
      <c r="L118" s="1" t="str">
        <f aca="false">IFERROR(G118/J118,"")</f>
        <v/>
      </c>
    </row>
    <row r="119" customFormat="false" ht="13.8" hidden="false" customHeight="false" outlineLevel="0" collapsed="false">
      <c r="A119" s="1" t="s">
        <v>17</v>
      </c>
      <c r="B119" s="1" t="s">
        <v>43</v>
      </c>
      <c r="C119" s="2" t="n">
        <v>45383</v>
      </c>
      <c r="D119" s="2" t="n">
        <v>45471</v>
      </c>
      <c r="E119" s="1" t="s">
        <v>66</v>
      </c>
      <c r="F119" s="1" t="n">
        <v>5940</v>
      </c>
      <c r="G119" s="3" t="n">
        <v>5940</v>
      </c>
      <c r="H119" s="3"/>
      <c r="I119" s="1" t="s">
        <v>19</v>
      </c>
      <c r="L119" s="1" t="str">
        <f aca="false">IFERROR(G119/J119,"")</f>
        <v/>
      </c>
    </row>
    <row r="120" customFormat="false" ht="13.8" hidden="false" customHeight="false" outlineLevel="0" collapsed="false">
      <c r="A120" s="1" t="s">
        <v>12</v>
      </c>
      <c r="B120" s="1" t="s">
        <v>43</v>
      </c>
      <c r="C120" s="2" t="n">
        <v>45383</v>
      </c>
      <c r="D120" s="2" t="n">
        <v>45471</v>
      </c>
      <c r="E120" s="1" t="s">
        <v>66</v>
      </c>
      <c r="F120" s="1" t="n">
        <v>11880</v>
      </c>
      <c r="G120" s="3" t="n">
        <v>11880</v>
      </c>
      <c r="H120" s="3"/>
      <c r="I120" s="1" t="s">
        <v>19</v>
      </c>
      <c r="L120" s="1" t="str">
        <f aca="false">IFERROR(G120/J120,"")</f>
        <v/>
      </c>
    </row>
    <row r="121" customFormat="false" ht="13.8" hidden="false" customHeight="false" outlineLevel="0" collapsed="false">
      <c r="A121" s="1" t="s">
        <v>17</v>
      </c>
      <c r="B121" s="1" t="s">
        <v>60</v>
      </c>
      <c r="C121" s="2" t="n">
        <v>45446</v>
      </c>
      <c r="D121" s="2" t="n">
        <v>45471</v>
      </c>
      <c r="E121" s="1" t="s">
        <v>48</v>
      </c>
      <c r="F121" s="1" t="n">
        <v>2613.6</v>
      </c>
      <c r="G121" s="3" t="n">
        <v>2613.6</v>
      </c>
      <c r="H121" s="3"/>
      <c r="I121" s="1" t="s">
        <v>15</v>
      </c>
      <c r="L121" s="1" t="str">
        <f aca="false">IFERROR(G121/J121,"")</f>
        <v/>
      </c>
    </row>
    <row r="122" customFormat="false" ht="13.8" hidden="false" customHeight="false" outlineLevel="0" collapsed="false">
      <c r="A122" s="1" t="s">
        <v>17</v>
      </c>
      <c r="B122" s="1" t="s">
        <v>60</v>
      </c>
      <c r="C122" s="2" t="n">
        <v>45453</v>
      </c>
      <c r="D122" s="2" t="n">
        <v>45471</v>
      </c>
      <c r="E122" s="1" t="s">
        <v>67</v>
      </c>
      <c r="F122" s="1" t="n">
        <v>2160</v>
      </c>
      <c r="G122" s="3" t="n">
        <v>2160</v>
      </c>
      <c r="H122" s="3"/>
      <c r="I122" s="1" t="s">
        <v>15</v>
      </c>
      <c r="L122" s="1" t="str">
        <f aca="false">IFERROR(G122/J122,"")</f>
        <v/>
      </c>
    </row>
    <row r="123" customFormat="false" ht="13.8" hidden="false" customHeight="false" outlineLevel="0" collapsed="false">
      <c r="A123" s="1" t="s">
        <v>17</v>
      </c>
      <c r="B123" s="1" t="s">
        <v>60</v>
      </c>
      <c r="C123" s="2" t="n">
        <v>45460</v>
      </c>
      <c r="D123" s="2" t="n">
        <v>45471</v>
      </c>
      <c r="E123" s="1" t="s">
        <v>46</v>
      </c>
      <c r="F123" s="1" t="n">
        <v>1440</v>
      </c>
      <c r="G123" s="3" t="n">
        <v>1440</v>
      </c>
      <c r="H123" s="3"/>
      <c r="I123" s="1" t="s">
        <v>15</v>
      </c>
      <c r="L123" s="1" t="str">
        <f aca="false">IFERROR(G123/J123,"")</f>
        <v/>
      </c>
    </row>
    <row r="124" customFormat="false" ht="13.8" hidden="false" customHeight="false" outlineLevel="0" collapsed="false">
      <c r="A124" s="1" t="s">
        <v>17</v>
      </c>
      <c r="B124" s="1" t="s">
        <v>60</v>
      </c>
      <c r="C124" s="2" t="n">
        <v>45460</v>
      </c>
      <c r="D124" s="2" t="n">
        <v>45471</v>
      </c>
      <c r="E124" s="1" t="s">
        <v>32</v>
      </c>
      <c r="F124" s="1" t="n">
        <v>1800</v>
      </c>
      <c r="G124" s="3" t="n">
        <v>1800</v>
      </c>
      <c r="H124" s="3"/>
      <c r="I124" s="1" t="s">
        <v>15</v>
      </c>
      <c r="L124" s="1" t="str">
        <f aca="false">IFERROR(G124/J124,"")</f>
        <v/>
      </c>
    </row>
    <row r="125" customFormat="false" ht="13.8" hidden="false" customHeight="false" outlineLevel="0" collapsed="false">
      <c r="A125" s="1" t="s">
        <v>12</v>
      </c>
      <c r="B125" s="1" t="s">
        <v>60</v>
      </c>
      <c r="C125" s="2" t="n">
        <v>45444</v>
      </c>
      <c r="D125" s="2" t="n">
        <v>45472</v>
      </c>
      <c r="E125" s="1" t="s">
        <v>49</v>
      </c>
      <c r="F125" s="1" t="n">
        <v>2280</v>
      </c>
      <c r="G125" s="3" t="n">
        <v>2280</v>
      </c>
      <c r="H125" s="3"/>
      <c r="I125" s="1" t="s">
        <v>15</v>
      </c>
      <c r="L125" s="1" t="str">
        <f aca="false">IFERROR(G125/J125,"")</f>
        <v/>
      </c>
    </row>
    <row r="126" customFormat="false" ht="13.8" hidden="false" customHeight="false" outlineLevel="0" collapsed="false">
      <c r="A126" s="1" t="s">
        <v>17</v>
      </c>
      <c r="B126" s="1" t="s">
        <v>60</v>
      </c>
      <c r="C126" s="2" t="n">
        <v>45078</v>
      </c>
      <c r="D126" s="2" t="n">
        <v>45473</v>
      </c>
      <c r="E126" s="1" t="s">
        <v>47</v>
      </c>
      <c r="F126" s="1" t="n">
        <v>4480</v>
      </c>
      <c r="G126" s="3" t="n">
        <v>4480</v>
      </c>
      <c r="H126" s="3"/>
      <c r="I126" s="1" t="s">
        <v>15</v>
      </c>
      <c r="L126" s="1" t="str">
        <f aca="false">IFERROR(G126/J126,"")</f>
        <v/>
      </c>
    </row>
    <row r="127" customFormat="false" ht="13.8" hidden="false" customHeight="false" outlineLevel="0" collapsed="false">
      <c r="A127" s="1" t="s">
        <v>12</v>
      </c>
      <c r="B127" s="1" t="s">
        <v>60</v>
      </c>
      <c r="C127" s="2" t="n">
        <v>45444</v>
      </c>
      <c r="D127" s="2" t="n">
        <v>45473</v>
      </c>
      <c r="E127" s="1" t="s">
        <v>24</v>
      </c>
      <c r="F127" s="1" t="n">
        <v>1650</v>
      </c>
      <c r="G127" s="3" t="n">
        <v>1650</v>
      </c>
      <c r="H127" s="3"/>
      <c r="I127" s="1" t="s">
        <v>15</v>
      </c>
      <c r="L127" s="1" t="str">
        <f aca="false">IFERROR(G127/J127,"")</f>
        <v/>
      </c>
    </row>
    <row r="128" customFormat="false" ht="13.8" hidden="false" customHeight="false" outlineLevel="0" collapsed="false">
      <c r="A128" s="1" t="s">
        <v>12</v>
      </c>
      <c r="B128" s="1" t="s">
        <v>60</v>
      </c>
      <c r="C128" s="2" t="n">
        <v>45444</v>
      </c>
      <c r="D128" s="2" t="n">
        <v>45473</v>
      </c>
      <c r="E128" s="1" t="s">
        <v>24</v>
      </c>
      <c r="F128" s="1" t="n">
        <v>1650</v>
      </c>
      <c r="G128" s="3" t="n">
        <v>1650</v>
      </c>
      <c r="H128" s="3"/>
      <c r="I128" s="1" t="s">
        <v>15</v>
      </c>
      <c r="L128" s="1" t="str">
        <f aca="false">IFERROR(G128/J128,"")</f>
        <v/>
      </c>
    </row>
    <row r="129" customFormat="false" ht="13.8" hidden="false" customHeight="false" outlineLevel="0" collapsed="false">
      <c r="A129" s="1" t="s">
        <v>12</v>
      </c>
      <c r="B129" s="1" t="s">
        <v>68</v>
      </c>
      <c r="C129" s="2" t="n">
        <v>45476</v>
      </c>
      <c r="D129" s="2" t="n">
        <v>45478</v>
      </c>
      <c r="E129" s="1" t="s">
        <v>69</v>
      </c>
      <c r="F129" s="1" t="n">
        <v>2000</v>
      </c>
      <c r="G129" s="3" t="n">
        <v>2000</v>
      </c>
      <c r="H129" s="3"/>
      <c r="I129" s="1" t="s">
        <v>19</v>
      </c>
      <c r="L129" s="1" t="str">
        <f aca="false">IFERROR(G129/J129,"")</f>
        <v/>
      </c>
    </row>
    <row r="130" customFormat="false" ht="13.8" hidden="false" customHeight="false" outlineLevel="0" collapsed="false">
      <c r="A130" s="1" t="s">
        <v>12</v>
      </c>
      <c r="B130" s="1" t="s">
        <v>60</v>
      </c>
      <c r="C130" s="2" t="n">
        <v>45456</v>
      </c>
      <c r="D130" s="2" t="n">
        <v>45485</v>
      </c>
      <c r="E130" s="1" t="s">
        <v>61</v>
      </c>
      <c r="F130" s="1" t="n">
        <v>6500</v>
      </c>
      <c r="G130" s="3" t="n">
        <v>6500</v>
      </c>
      <c r="H130" s="3"/>
      <c r="I130" s="1" t="s">
        <v>15</v>
      </c>
      <c r="L130" s="1" t="str">
        <f aca="false">IFERROR(G130/J130,"")</f>
        <v/>
      </c>
    </row>
    <row r="131" customFormat="false" ht="13.8" hidden="false" customHeight="false" outlineLevel="0" collapsed="false">
      <c r="A131" s="1" t="s">
        <v>17</v>
      </c>
      <c r="B131" s="1" t="s">
        <v>68</v>
      </c>
      <c r="C131" s="2" t="n">
        <v>45482</v>
      </c>
      <c r="D131" s="2" t="n">
        <v>45486</v>
      </c>
      <c r="E131" s="1" t="s">
        <v>22</v>
      </c>
      <c r="F131" s="1" t="n">
        <v>1600</v>
      </c>
      <c r="G131" s="3" t="n">
        <v>1600</v>
      </c>
      <c r="H131" s="3"/>
      <c r="I131" s="1" t="s">
        <v>15</v>
      </c>
      <c r="L131" s="1" t="str">
        <f aca="false">IFERROR(G131/J131,"")</f>
        <v/>
      </c>
    </row>
    <row r="132" customFormat="false" ht="13.8" hidden="false" customHeight="false" outlineLevel="0" collapsed="false">
      <c r="A132" s="1" t="s">
        <v>12</v>
      </c>
      <c r="B132" s="1" t="s">
        <v>68</v>
      </c>
      <c r="C132" s="2" t="n">
        <v>45482</v>
      </c>
      <c r="D132" s="2" t="n">
        <v>45486</v>
      </c>
      <c r="E132" s="1" t="s">
        <v>22</v>
      </c>
      <c r="F132" s="1" t="n">
        <v>1600</v>
      </c>
      <c r="G132" s="3" t="n">
        <v>1600</v>
      </c>
      <c r="H132" s="3"/>
      <c r="I132" s="1" t="s">
        <v>15</v>
      </c>
      <c r="L132" s="1" t="str">
        <f aca="false">IFERROR(G132/J132,"")</f>
        <v/>
      </c>
    </row>
    <row r="133" customFormat="false" ht="13.8" hidden="false" customHeight="false" outlineLevel="0" collapsed="false">
      <c r="A133" s="1" t="s">
        <v>12</v>
      </c>
      <c r="B133" s="1" t="s">
        <v>68</v>
      </c>
      <c r="C133" s="2" t="n">
        <v>45486</v>
      </c>
      <c r="D133" s="2" t="n">
        <v>45486</v>
      </c>
      <c r="E133" s="1" t="s">
        <v>22</v>
      </c>
      <c r="F133" s="1" t="n">
        <v>1632</v>
      </c>
      <c r="G133" s="3" t="n">
        <v>1632</v>
      </c>
      <c r="H133" s="3"/>
      <c r="I133" s="1" t="s">
        <v>15</v>
      </c>
      <c r="L133" s="1" t="str">
        <f aca="false">IFERROR(G133/J133,"")</f>
        <v/>
      </c>
    </row>
    <row r="134" customFormat="false" ht="13.8" hidden="false" customHeight="false" outlineLevel="0" collapsed="false">
      <c r="A134" s="1" t="s">
        <v>17</v>
      </c>
      <c r="B134" s="1" t="s">
        <v>60</v>
      </c>
      <c r="C134" s="2" t="n">
        <v>45461</v>
      </c>
      <c r="D134" s="2" t="n">
        <v>45490</v>
      </c>
      <c r="E134" s="1" t="s">
        <v>27</v>
      </c>
      <c r="F134" s="1" t="n">
        <v>3600</v>
      </c>
      <c r="G134" s="3" t="n">
        <v>3600</v>
      </c>
      <c r="H134" s="3"/>
      <c r="I134" s="1" t="s">
        <v>15</v>
      </c>
      <c r="L134" s="1" t="str">
        <f aca="false">IFERROR(G134/J134,"")</f>
        <v/>
      </c>
    </row>
    <row r="135" customFormat="false" ht="13.8" hidden="false" customHeight="false" outlineLevel="0" collapsed="false">
      <c r="A135" s="1" t="s">
        <v>12</v>
      </c>
      <c r="B135" s="1" t="s">
        <v>68</v>
      </c>
      <c r="C135" s="2" t="n">
        <v>45484</v>
      </c>
      <c r="D135" s="2" t="n">
        <v>45493</v>
      </c>
      <c r="E135" s="1" t="s">
        <v>37</v>
      </c>
      <c r="F135" s="1" t="n">
        <v>1575</v>
      </c>
      <c r="G135" s="3" t="n">
        <v>1575</v>
      </c>
      <c r="H135" s="3"/>
      <c r="I135" s="1" t="s">
        <v>15</v>
      </c>
      <c r="L135" s="1" t="str">
        <f aca="false">IFERROR(G135/J135,"")</f>
        <v/>
      </c>
    </row>
    <row r="136" customFormat="false" ht="13.8" hidden="false" customHeight="false" outlineLevel="0" collapsed="false">
      <c r="A136" s="1" t="s">
        <v>12</v>
      </c>
      <c r="B136" s="1" t="s">
        <v>68</v>
      </c>
      <c r="C136" s="2" t="n">
        <v>45497</v>
      </c>
      <c r="D136" s="2" t="n">
        <v>45499</v>
      </c>
      <c r="E136" s="1" t="s">
        <v>70</v>
      </c>
      <c r="F136" s="1" t="n">
        <v>1050</v>
      </c>
      <c r="G136" s="3" t="n">
        <v>1050</v>
      </c>
      <c r="H136" s="3"/>
      <c r="I136" s="1" t="s">
        <v>15</v>
      </c>
      <c r="L136" s="1" t="str">
        <f aca="false">IFERROR(G136/J136,"")</f>
        <v/>
      </c>
    </row>
    <row r="137" customFormat="false" ht="13.8" hidden="false" customHeight="false" outlineLevel="0" collapsed="false">
      <c r="A137" s="1" t="s">
        <v>50</v>
      </c>
      <c r="B137" s="1" t="s">
        <v>68</v>
      </c>
      <c r="C137" s="2" t="n">
        <v>45496</v>
      </c>
      <c r="D137" s="2" t="n">
        <v>45500</v>
      </c>
      <c r="E137" s="1" t="s">
        <v>71</v>
      </c>
      <c r="F137" s="1" t="n">
        <v>6000</v>
      </c>
      <c r="G137" s="3" t="n">
        <v>6000</v>
      </c>
      <c r="H137" s="3"/>
      <c r="I137" s="1" t="s">
        <v>19</v>
      </c>
      <c r="L137" s="1" t="str">
        <f aca="false">IFERROR(G137/J137,"")</f>
        <v/>
      </c>
    </row>
    <row r="138" customFormat="false" ht="13.8" hidden="false" customHeight="false" outlineLevel="0" collapsed="false">
      <c r="A138" s="1" t="s">
        <v>17</v>
      </c>
      <c r="B138" s="1" t="s">
        <v>68</v>
      </c>
      <c r="C138" s="2" t="n">
        <v>45474</v>
      </c>
      <c r="D138" s="2" t="n">
        <v>45504</v>
      </c>
      <c r="E138" s="1" t="s">
        <v>46</v>
      </c>
      <c r="F138" s="1" t="n">
        <v>3024</v>
      </c>
      <c r="G138" s="3" t="n">
        <v>3024</v>
      </c>
      <c r="H138" s="3"/>
      <c r="I138" s="1" t="s">
        <v>15</v>
      </c>
      <c r="L138" s="1" t="str">
        <f aca="false">IFERROR(G138/J138,"")</f>
        <v/>
      </c>
    </row>
    <row r="139" customFormat="false" ht="13.8" hidden="false" customHeight="false" outlineLevel="0" collapsed="false">
      <c r="A139" s="1" t="s">
        <v>17</v>
      </c>
      <c r="B139" s="1" t="s">
        <v>68</v>
      </c>
      <c r="C139" s="2" t="n">
        <v>45474</v>
      </c>
      <c r="D139" s="2" t="n">
        <v>45504</v>
      </c>
      <c r="E139" s="1" t="s">
        <v>32</v>
      </c>
      <c r="F139" s="1" t="n">
        <v>4140</v>
      </c>
      <c r="G139" s="3" t="n">
        <v>4140</v>
      </c>
      <c r="H139" s="3"/>
      <c r="I139" s="1" t="s">
        <v>15</v>
      </c>
      <c r="L139" s="1" t="str">
        <f aca="false">IFERROR(G139/J139,"")</f>
        <v/>
      </c>
    </row>
    <row r="140" customFormat="false" ht="13.8" hidden="false" customHeight="false" outlineLevel="0" collapsed="false">
      <c r="A140" s="1" t="s">
        <v>17</v>
      </c>
      <c r="B140" s="1" t="s">
        <v>68</v>
      </c>
      <c r="C140" s="2" t="n">
        <v>45474</v>
      </c>
      <c r="D140" s="2" t="n">
        <v>45504</v>
      </c>
      <c r="E140" s="1" t="s">
        <v>67</v>
      </c>
      <c r="F140" s="1" t="n">
        <v>3312</v>
      </c>
      <c r="G140" s="3" t="n">
        <v>3312</v>
      </c>
      <c r="H140" s="3"/>
      <c r="I140" s="1" t="s">
        <v>15</v>
      </c>
      <c r="L140" s="1" t="str">
        <f aca="false">IFERROR(G140/J140,"")</f>
        <v/>
      </c>
    </row>
    <row r="141" customFormat="false" ht="13.8" hidden="false" customHeight="false" outlineLevel="0" collapsed="false">
      <c r="A141" s="1" t="s">
        <v>12</v>
      </c>
      <c r="B141" s="1" t="s">
        <v>68</v>
      </c>
      <c r="C141" s="2" t="n">
        <v>45474</v>
      </c>
      <c r="D141" s="2" t="n">
        <v>45504</v>
      </c>
      <c r="E141" s="1" t="s">
        <v>24</v>
      </c>
      <c r="F141" s="1" t="n">
        <v>1650</v>
      </c>
      <c r="G141" s="3" t="n">
        <v>1650</v>
      </c>
      <c r="H141" s="3"/>
      <c r="I141" s="1" t="s">
        <v>15</v>
      </c>
      <c r="L141" s="1" t="str">
        <f aca="false">IFERROR(G141/J141,"")</f>
        <v/>
      </c>
    </row>
    <row r="142" customFormat="false" ht="13.8" hidden="false" customHeight="false" outlineLevel="0" collapsed="false">
      <c r="A142" s="1" t="s">
        <v>12</v>
      </c>
      <c r="B142" s="1" t="s">
        <v>68</v>
      </c>
      <c r="C142" s="2" t="n">
        <v>45474</v>
      </c>
      <c r="D142" s="2" t="n">
        <v>45504</v>
      </c>
      <c r="E142" s="1" t="s">
        <v>24</v>
      </c>
      <c r="F142" s="1" t="n">
        <v>1650</v>
      </c>
      <c r="G142" s="3" t="n">
        <v>1650</v>
      </c>
      <c r="H142" s="3"/>
      <c r="I142" s="1" t="s">
        <v>15</v>
      </c>
      <c r="L142" s="1" t="str">
        <f aca="false">IFERROR(G142/J142,"")</f>
        <v/>
      </c>
    </row>
    <row r="143" customFormat="false" ht="13.8" hidden="false" customHeight="false" outlineLevel="0" collapsed="false">
      <c r="A143" s="1" t="s">
        <v>12</v>
      </c>
      <c r="B143" s="1" t="s">
        <v>68</v>
      </c>
      <c r="C143" s="2" t="n">
        <v>45490</v>
      </c>
      <c r="D143" s="2" t="n">
        <v>45504</v>
      </c>
      <c r="E143" s="1" t="s">
        <v>72</v>
      </c>
      <c r="F143" s="1" t="n">
        <v>4920</v>
      </c>
      <c r="G143" s="3" t="n">
        <v>4920</v>
      </c>
      <c r="H143" s="3"/>
      <c r="I143" s="1" t="s">
        <v>15</v>
      </c>
      <c r="L143" s="1" t="str">
        <f aca="false">IFERROR(G143/J143,"")</f>
        <v/>
      </c>
    </row>
    <row r="144" customFormat="false" ht="13.8" hidden="false" customHeight="false" outlineLevel="0" collapsed="false">
      <c r="A144" s="1" t="s">
        <v>17</v>
      </c>
      <c r="B144" s="1" t="s">
        <v>68</v>
      </c>
      <c r="C144" s="2" t="n">
        <v>45499</v>
      </c>
      <c r="D144" s="2" t="n">
        <v>45504</v>
      </c>
      <c r="E144" s="1" t="s">
        <v>26</v>
      </c>
      <c r="F144" s="1" t="n">
        <v>1804.65</v>
      </c>
      <c r="G144" s="3" t="n">
        <v>1804.65</v>
      </c>
      <c r="H144" s="3"/>
      <c r="I144" s="1" t="s">
        <v>15</v>
      </c>
      <c r="L144" s="1" t="str">
        <f aca="false">IFERROR(G144/J144,"")</f>
        <v/>
      </c>
    </row>
    <row r="145" customFormat="false" ht="13.8" hidden="false" customHeight="false" outlineLevel="0" collapsed="false">
      <c r="A145" s="1" t="s">
        <v>17</v>
      </c>
      <c r="B145" s="1" t="s">
        <v>68</v>
      </c>
      <c r="C145" s="2" t="n">
        <v>45500</v>
      </c>
      <c r="D145" s="2" t="n">
        <v>45504</v>
      </c>
      <c r="E145" s="1" t="s">
        <v>22</v>
      </c>
      <c r="F145" s="1" t="n">
        <v>1664</v>
      </c>
      <c r="G145" s="3" t="n">
        <v>1664</v>
      </c>
      <c r="H145" s="3"/>
      <c r="I145" s="1" t="s">
        <v>15</v>
      </c>
      <c r="L145" s="1" t="str">
        <f aca="false">IFERROR(G145/J145,"")</f>
        <v/>
      </c>
    </row>
    <row r="146" customFormat="false" ht="13.8" hidden="false" customHeight="false" outlineLevel="0" collapsed="false">
      <c r="A146" s="1" t="s">
        <v>12</v>
      </c>
      <c r="B146" s="1" t="s">
        <v>68</v>
      </c>
      <c r="C146" s="2" t="n">
        <v>45500</v>
      </c>
      <c r="D146" s="2" t="n">
        <v>45504</v>
      </c>
      <c r="E146" s="1" t="s">
        <v>22</v>
      </c>
      <c r="F146" s="1" t="n">
        <v>1360</v>
      </c>
      <c r="G146" s="3" t="n">
        <v>1360</v>
      </c>
      <c r="H146" s="3"/>
      <c r="I146" s="1" t="s">
        <v>15</v>
      </c>
      <c r="L146" s="1" t="str">
        <f aca="false">IFERROR(G146/J146,"")</f>
        <v/>
      </c>
    </row>
    <row r="147" customFormat="false" ht="13.8" hidden="false" customHeight="false" outlineLevel="0" collapsed="false">
      <c r="A147" s="1" t="s">
        <v>17</v>
      </c>
      <c r="B147" s="1" t="s">
        <v>68</v>
      </c>
      <c r="C147" s="2" t="n">
        <v>45502</v>
      </c>
      <c r="D147" s="2" t="n">
        <v>45504</v>
      </c>
      <c r="E147" s="1" t="s">
        <v>73</v>
      </c>
      <c r="F147" s="1" t="n">
        <v>660</v>
      </c>
      <c r="G147" s="1" t="n">
        <v>660</v>
      </c>
      <c r="I147" s="1" t="s">
        <v>15</v>
      </c>
      <c r="L147" s="1" t="str">
        <f aca="false">IFERROR(G147/J147,"")</f>
        <v/>
      </c>
    </row>
    <row r="148" customFormat="false" ht="13.8" hidden="false" customHeight="false" outlineLevel="0" collapsed="false">
      <c r="A148" s="1" t="s">
        <v>12</v>
      </c>
      <c r="B148" s="1" t="s">
        <v>68</v>
      </c>
      <c r="C148" s="2" t="n">
        <v>45502</v>
      </c>
      <c r="D148" s="2" t="n">
        <v>45504</v>
      </c>
      <c r="E148" s="1" t="s">
        <v>73</v>
      </c>
      <c r="F148" s="1" t="n">
        <v>600</v>
      </c>
      <c r="G148" s="1" t="n">
        <v>600</v>
      </c>
      <c r="I148" s="1" t="s">
        <v>15</v>
      </c>
      <c r="L148" s="1" t="str">
        <f aca="false">IFERROR(G148/J148,"")</f>
        <v/>
      </c>
    </row>
    <row r="149" customFormat="false" ht="13.8" hidden="false" customHeight="false" outlineLevel="0" collapsed="false">
      <c r="A149" s="1" t="s">
        <v>12</v>
      </c>
      <c r="B149" s="1" t="s">
        <v>68</v>
      </c>
      <c r="C149" s="2" t="n">
        <v>45493</v>
      </c>
      <c r="D149" s="2" t="n">
        <v>45506</v>
      </c>
      <c r="E149" s="1" t="s">
        <v>74</v>
      </c>
      <c r="F149" s="1" t="n">
        <v>3000</v>
      </c>
      <c r="G149" s="3" t="n">
        <v>3000</v>
      </c>
      <c r="H149" s="3"/>
      <c r="I149" s="1" t="s">
        <v>19</v>
      </c>
      <c r="L149" s="1" t="str">
        <f aca="false">IFERROR(G149/J149,"")</f>
        <v/>
      </c>
    </row>
    <row r="150" customFormat="false" ht="13.8" hidden="false" customHeight="false" outlineLevel="0" collapsed="false">
      <c r="A150" s="1" t="s">
        <v>17</v>
      </c>
      <c r="B150" s="1" t="s">
        <v>75</v>
      </c>
      <c r="C150" s="2" t="n">
        <v>45505</v>
      </c>
      <c r="D150" s="2" t="n">
        <v>45507</v>
      </c>
      <c r="E150" s="1" t="s">
        <v>22</v>
      </c>
      <c r="F150" s="1" t="n">
        <v>998.4</v>
      </c>
      <c r="G150" s="1" t="n">
        <v>998.4</v>
      </c>
      <c r="I150" s="1" t="s">
        <v>15</v>
      </c>
      <c r="L150" s="1" t="str">
        <f aca="false">IFERROR(G150/J150,"")</f>
        <v/>
      </c>
    </row>
    <row r="151" customFormat="false" ht="13.8" hidden="false" customHeight="false" outlineLevel="0" collapsed="false">
      <c r="A151" s="1" t="s">
        <v>12</v>
      </c>
      <c r="B151" s="1" t="s">
        <v>75</v>
      </c>
      <c r="C151" s="2" t="n">
        <v>45505</v>
      </c>
      <c r="D151" s="2" t="n">
        <v>45507</v>
      </c>
      <c r="E151" s="1" t="s">
        <v>22</v>
      </c>
      <c r="F151" s="1" t="n">
        <v>816</v>
      </c>
      <c r="G151" s="1" t="n">
        <v>816</v>
      </c>
      <c r="I151" s="1" t="s">
        <v>15</v>
      </c>
      <c r="L151" s="1" t="str">
        <f aca="false">IFERROR(G151/J151,"")</f>
        <v/>
      </c>
    </row>
    <row r="152" customFormat="false" ht="13.8" hidden="false" customHeight="false" outlineLevel="0" collapsed="false">
      <c r="A152" s="1" t="s">
        <v>12</v>
      </c>
      <c r="B152" s="1" t="s">
        <v>68</v>
      </c>
      <c r="C152" s="2" t="n">
        <v>45502</v>
      </c>
      <c r="D152" s="2" t="n">
        <v>45508</v>
      </c>
      <c r="E152" s="1" t="s">
        <v>76</v>
      </c>
      <c r="F152" s="1" t="n">
        <v>1800</v>
      </c>
      <c r="G152" s="3" t="n">
        <v>1800</v>
      </c>
      <c r="H152" s="3"/>
      <c r="I152" s="1" t="s">
        <v>19</v>
      </c>
      <c r="L152" s="1" t="str">
        <f aca="false">IFERROR(G152/J152,"")</f>
        <v/>
      </c>
    </row>
    <row r="153" customFormat="false" ht="13.8" hidden="false" customHeight="false" outlineLevel="0" collapsed="false">
      <c r="A153" s="1" t="s">
        <v>12</v>
      </c>
      <c r="B153" s="1" t="s">
        <v>68</v>
      </c>
      <c r="C153" s="2" t="n">
        <v>45481</v>
      </c>
      <c r="D153" s="2" t="n">
        <v>45511</v>
      </c>
      <c r="E153" s="1" t="s">
        <v>77</v>
      </c>
      <c r="F153" s="1" t="n">
        <v>4240</v>
      </c>
      <c r="G153" s="3" t="n">
        <v>4240</v>
      </c>
      <c r="H153" s="3"/>
      <c r="I153" s="1" t="s">
        <v>15</v>
      </c>
      <c r="L153" s="1" t="str">
        <f aca="false">IFERROR(G153/J153,"")</f>
        <v/>
      </c>
    </row>
    <row r="154" customFormat="false" ht="13.8" hidden="false" customHeight="false" outlineLevel="0" collapsed="false">
      <c r="A154" s="1" t="s">
        <v>50</v>
      </c>
      <c r="B154" s="1" t="s">
        <v>75</v>
      </c>
      <c r="C154" s="2" t="n">
        <v>45505</v>
      </c>
      <c r="D154" s="2" t="n">
        <v>45513</v>
      </c>
      <c r="E154" s="1" t="s">
        <v>56</v>
      </c>
      <c r="F154" s="1" t="n">
        <v>2067</v>
      </c>
      <c r="G154" s="3" t="n">
        <v>2067</v>
      </c>
      <c r="H154" s="3"/>
      <c r="I154" s="1" t="s">
        <v>15</v>
      </c>
      <c r="L154" s="1" t="str">
        <f aca="false">IFERROR(G154/J154,"")</f>
        <v/>
      </c>
    </row>
    <row r="155" customFormat="false" ht="13.8" hidden="false" customHeight="false" outlineLevel="0" collapsed="false">
      <c r="A155" s="1" t="s">
        <v>12</v>
      </c>
      <c r="B155" s="1" t="s">
        <v>68</v>
      </c>
      <c r="C155" s="2" t="n">
        <v>45488</v>
      </c>
      <c r="D155" s="2" t="n">
        <v>45514</v>
      </c>
      <c r="E155" s="1" t="s">
        <v>78</v>
      </c>
      <c r="F155" s="1" t="n">
        <v>1502.5</v>
      </c>
      <c r="G155" s="3" t="n">
        <v>1502.5</v>
      </c>
      <c r="H155" s="3"/>
      <c r="I155" s="1" t="s">
        <v>19</v>
      </c>
      <c r="L155" s="1" t="str">
        <f aca="false">IFERROR(G155/J155,"")</f>
        <v/>
      </c>
    </row>
    <row r="156" customFormat="false" ht="13.8" hidden="false" customHeight="false" outlineLevel="0" collapsed="false">
      <c r="A156" s="1" t="s">
        <v>17</v>
      </c>
      <c r="B156" s="1" t="s">
        <v>75</v>
      </c>
      <c r="C156" s="2" t="n">
        <v>45505</v>
      </c>
      <c r="D156" s="2" t="n">
        <v>45514</v>
      </c>
      <c r="E156" s="1" t="s">
        <v>26</v>
      </c>
      <c r="F156" s="1" t="n">
        <v>3007.74</v>
      </c>
      <c r="G156" s="3" t="n">
        <v>3007.74</v>
      </c>
      <c r="H156" s="3"/>
      <c r="I156" s="1" t="s">
        <v>15</v>
      </c>
      <c r="L156" s="1" t="str">
        <f aca="false">IFERROR(G156/J156,"")</f>
        <v/>
      </c>
    </row>
    <row r="157" customFormat="false" ht="13.8" hidden="false" customHeight="false" outlineLevel="0" collapsed="false">
      <c r="A157" s="1" t="s">
        <v>17</v>
      </c>
      <c r="B157" s="1" t="s">
        <v>75</v>
      </c>
      <c r="C157" s="2" t="n">
        <v>45505</v>
      </c>
      <c r="D157" s="2" t="n">
        <v>45514</v>
      </c>
      <c r="E157" s="1" t="s">
        <v>73</v>
      </c>
      <c r="F157" s="1" t="n">
        <v>2068</v>
      </c>
      <c r="G157" s="3" t="n">
        <v>2068</v>
      </c>
      <c r="H157" s="3"/>
      <c r="I157" s="1" t="s">
        <v>15</v>
      </c>
      <c r="L157" s="1" t="str">
        <f aca="false">IFERROR(G157/J157,"")</f>
        <v/>
      </c>
    </row>
    <row r="158" customFormat="false" ht="13.8" hidden="false" customHeight="false" outlineLevel="0" collapsed="false">
      <c r="A158" s="1" t="s">
        <v>12</v>
      </c>
      <c r="B158" s="1" t="s">
        <v>75</v>
      </c>
      <c r="C158" s="2" t="n">
        <v>45505</v>
      </c>
      <c r="D158" s="2" t="n">
        <v>45514</v>
      </c>
      <c r="E158" s="1" t="s">
        <v>73</v>
      </c>
      <c r="F158" s="1" t="n">
        <v>2120</v>
      </c>
      <c r="G158" s="3" t="n">
        <v>2120</v>
      </c>
      <c r="H158" s="3"/>
      <c r="I158" s="1" t="s">
        <v>15</v>
      </c>
      <c r="L158" s="1" t="str">
        <f aca="false">IFERROR(G158/J158,"")</f>
        <v/>
      </c>
    </row>
    <row r="159" customFormat="false" ht="13.8" hidden="false" customHeight="false" outlineLevel="0" collapsed="false">
      <c r="A159" s="1" t="s">
        <v>17</v>
      </c>
      <c r="B159" s="1" t="s">
        <v>75</v>
      </c>
      <c r="C159" s="2" t="n">
        <v>45516</v>
      </c>
      <c r="D159" s="2" t="n">
        <v>45516</v>
      </c>
      <c r="E159" s="1" t="s">
        <v>79</v>
      </c>
      <c r="F159" s="1" t="n">
        <v>800</v>
      </c>
      <c r="G159" s="1" t="n">
        <v>800</v>
      </c>
      <c r="I159" s="1" t="s">
        <v>15</v>
      </c>
      <c r="L159" s="1" t="str">
        <f aca="false">IFERROR(G159/J159,"")</f>
        <v/>
      </c>
    </row>
    <row r="160" customFormat="false" ht="13.8" hidden="false" customHeight="false" outlineLevel="0" collapsed="false">
      <c r="A160" s="1" t="s">
        <v>17</v>
      </c>
      <c r="B160" s="1" t="s">
        <v>68</v>
      </c>
      <c r="C160" s="2" t="n">
        <v>45491</v>
      </c>
      <c r="D160" s="2" t="n">
        <v>45521</v>
      </c>
      <c r="E160" s="1" t="s">
        <v>27</v>
      </c>
      <c r="F160" s="1" t="n">
        <v>3600</v>
      </c>
      <c r="G160" s="3" t="n">
        <v>3600</v>
      </c>
      <c r="H160" s="3"/>
      <c r="I160" s="1" t="s">
        <v>15</v>
      </c>
      <c r="L160" s="1" t="str">
        <f aca="false">IFERROR(G160/J160,"")</f>
        <v/>
      </c>
    </row>
    <row r="161" customFormat="false" ht="13.8" hidden="false" customHeight="false" outlineLevel="0" collapsed="false">
      <c r="A161" s="1" t="s">
        <v>17</v>
      </c>
      <c r="B161" s="1" t="s">
        <v>75</v>
      </c>
      <c r="C161" s="2" t="n">
        <v>45520</v>
      </c>
      <c r="D161" s="2" t="n">
        <v>45526</v>
      </c>
      <c r="E161" s="1" t="s">
        <v>33</v>
      </c>
      <c r="F161" s="1" t="n">
        <v>3281.53</v>
      </c>
      <c r="G161" s="3" t="n">
        <v>3281.53</v>
      </c>
      <c r="H161" s="3"/>
      <c r="I161" s="1" t="s">
        <v>15</v>
      </c>
      <c r="L161" s="1" t="str">
        <f aca="false">IFERROR(G161/J161,"")</f>
        <v/>
      </c>
    </row>
    <row r="162" customFormat="false" ht="13.8" hidden="false" customHeight="false" outlineLevel="0" collapsed="false">
      <c r="A162" s="1" t="s">
        <v>50</v>
      </c>
      <c r="B162" s="1" t="s">
        <v>68</v>
      </c>
      <c r="C162" s="2" t="n">
        <v>45497</v>
      </c>
      <c r="D162" s="2" t="n">
        <v>45527</v>
      </c>
      <c r="E162" s="1" t="s">
        <v>80</v>
      </c>
      <c r="F162" s="1" t="n">
        <v>2000</v>
      </c>
      <c r="G162" s="3" t="n">
        <v>2000</v>
      </c>
      <c r="H162" s="3"/>
      <c r="I162" s="1" t="s">
        <v>19</v>
      </c>
      <c r="L162" s="1" t="str">
        <f aca="false">IFERROR(G162/J162,"")</f>
        <v/>
      </c>
    </row>
    <row r="163" customFormat="false" ht="13.8" hidden="false" customHeight="false" outlineLevel="0" collapsed="false">
      <c r="A163" s="1" t="s">
        <v>17</v>
      </c>
      <c r="B163" s="1" t="s">
        <v>75</v>
      </c>
      <c r="C163" s="2" t="n">
        <v>45505</v>
      </c>
      <c r="D163" s="2" t="n">
        <v>45528</v>
      </c>
      <c r="E163" s="1" t="s">
        <v>81</v>
      </c>
      <c r="F163" s="1" t="n">
        <v>3000</v>
      </c>
      <c r="G163" s="3" t="n">
        <v>3000</v>
      </c>
      <c r="H163" s="3"/>
      <c r="I163" s="1" t="s">
        <v>19</v>
      </c>
      <c r="L163" s="1" t="str">
        <f aca="false">IFERROR(G163/J163,"")</f>
        <v/>
      </c>
    </row>
    <row r="164" customFormat="false" ht="13.8" hidden="false" customHeight="false" outlineLevel="0" collapsed="false">
      <c r="A164" s="1" t="s">
        <v>12</v>
      </c>
      <c r="B164" s="1" t="s">
        <v>75</v>
      </c>
      <c r="C164" s="2" t="n">
        <v>45528</v>
      </c>
      <c r="D164" s="2" t="n">
        <v>45528</v>
      </c>
      <c r="E164" s="1" t="s">
        <v>72</v>
      </c>
      <c r="F164" s="1" t="n">
        <v>1700</v>
      </c>
      <c r="G164" s="3" t="n">
        <v>1700</v>
      </c>
      <c r="H164" s="3"/>
      <c r="I164" s="1" t="s">
        <v>15</v>
      </c>
      <c r="L164" s="1" t="str">
        <f aca="false">IFERROR(G164/J164,"")</f>
        <v/>
      </c>
    </row>
    <row r="165" customFormat="false" ht="13.8" hidden="false" customHeight="false" outlineLevel="0" collapsed="false">
      <c r="A165" s="1" t="s">
        <v>12</v>
      </c>
      <c r="B165" s="1" t="s">
        <v>75</v>
      </c>
      <c r="C165" s="2" t="n">
        <v>45532</v>
      </c>
      <c r="D165" s="2" t="n">
        <v>45532</v>
      </c>
      <c r="E165" s="1" t="s">
        <v>72</v>
      </c>
      <c r="F165" s="1" t="n">
        <v>1700</v>
      </c>
      <c r="G165" s="3" t="n">
        <v>1700</v>
      </c>
      <c r="H165" s="3"/>
      <c r="I165" s="1" t="s">
        <v>15</v>
      </c>
      <c r="L165" s="1" t="str">
        <f aca="false">IFERROR(G165/J165,"")</f>
        <v/>
      </c>
    </row>
    <row r="166" customFormat="false" ht="13.8" hidden="false" customHeight="false" outlineLevel="0" collapsed="false">
      <c r="A166" s="1" t="s">
        <v>17</v>
      </c>
      <c r="B166" s="1" t="s">
        <v>75</v>
      </c>
      <c r="C166" s="2" t="n">
        <v>45139</v>
      </c>
      <c r="D166" s="2" t="n">
        <v>45534</v>
      </c>
      <c r="E166" s="1" t="s">
        <v>32</v>
      </c>
      <c r="F166" s="1" t="n">
        <v>3960</v>
      </c>
      <c r="G166" s="3" t="n">
        <v>3960</v>
      </c>
      <c r="H166" s="3"/>
      <c r="I166" s="1" t="s">
        <v>15</v>
      </c>
      <c r="L166" s="1" t="str">
        <f aca="false">IFERROR(G166/J166,"")</f>
        <v/>
      </c>
    </row>
    <row r="167" customFormat="false" ht="13.8" hidden="false" customHeight="false" outlineLevel="0" collapsed="false">
      <c r="A167" s="1" t="s">
        <v>17</v>
      </c>
      <c r="B167" s="1" t="s">
        <v>75</v>
      </c>
      <c r="C167" s="2" t="n">
        <v>45505</v>
      </c>
      <c r="D167" s="2" t="n">
        <v>45534</v>
      </c>
      <c r="E167" s="1" t="s">
        <v>48</v>
      </c>
      <c r="F167" s="1" t="n">
        <v>2613.6</v>
      </c>
      <c r="G167" s="3" t="n">
        <v>2613.6</v>
      </c>
      <c r="H167" s="3"/>
      <c r="I167" s="1" t="s">
        <v>15</v>
      </c>
      <c r="L167" s="1" t="str">
        <f aca="false">IFERROR(G167/J167,"")</f>
        <v/>
      </c>
    </row>
    <row r="168" customFormat="false" ht="13.8" hidden="false" customHeight="false" outlineLevel="0" collapsed="false">
      <c r="A168" s="1" t="s">
        <v>17</v>
      </c>
      <c r="B168" s="1" t="s">
        <v>75</v>
      </c>
      <c r="C168" s="2" t="n">
        <v>45509</v>
      </c>
      <c r="D168" s="2" t="n">
        <v>45534</v>
      </c>
      <c r="E168" s="1" t="s">
        <v>46</v>
      </c>
      <c r="F168" s="1" t="n">
        <v>2880</v>
      </c>
      <c r="G168" s="3" t="n">
        <v>2880</v>
      </c>
      <c r="H168" s="3"/>
      <c r="I168" s="1" t="s">
        <v>15</v>
      </c>
      <c r="L168" s="1" t="str">
        <f aca="false">IFERROR(G168/J168,"")</f>
        <v/>
      </c>
    </row>
    <row r="169" customFormat="false" ht="13.8" hidden="false" customHeight="false" outlineLevel="0" collapsed="false">
      <c r="A169" s="1" t="s">
        <v>12</v>
      </c>
      <c r="B169" s="1" t="s">
        <v>75</v>
      </c>
      <c r="C169" s="2" t="n">
        <v>45511</v>
      </c>
      <c r="D169" s="2" t="n">
        <v>45534</v>
      </c>
      <c r="E169" s="1" t="s">
        <v>72</v>
      </c>
      <c r="F169" s="1" t="n">
        <v>4920</v>
      </c>
      <c r="G169" s="3" t="n">
        <v>4920</v>
      </c>
      <c r="H169" s="3"/>
      <c r="I169" s="1" t="s">
        <v>15</v>
      </c>
      <c r="L169" s="1" t="str">
        <f aca="false">IFERROR(G169/J169,"")</f>
        <v/>
      </c>
    </row>
    <row r="170" customFormat="false" ht="13.8" hidden="false" customHeight="false" outlineLevel="0" collapsed="false">
      <c r="A170" s="1" t="s">
        <v>50</v>
      </c>
      <c r="B170" s="1" t="s">
        <v>75</v>
      </c>
      <c r="C170" s="2" t="n">
        <v>45533</v>
      </c>
      <c r="D170" s="2" t="n">
        <v>45534</v>
      </c>
      <c r="E170" s="1" t="s">
        <v>39</v>
      </c>
      <c r="F170" s="1" t="n">
        <v>3595.2</v>
      </c>
      <c r="G170" s="3" t="n">
        <v>3595.2</v>
      </c>
      <c r="H170" s="3"/>
      <c r="I170" s="1" t="s">
        <v>15</v>
      </c>
      <c r="L170" s="1" t="str">
        <f aca="false">IFERROR(G170/J170,"")</f>
        <v/>
      </c>
    </row>
    <row r="171" customFormat="false" ht="13.8" hidden="false" customHeight="false" outlineLevel="0" collapsed="false">
      <c r="A171" s="1" t="s">
        <v>12</v>
      </c>
      <c r="B171" s="1" t="s">
        <v>75</v>
      </c>
      <c r="C171" s="2" t="n">
        <v>45505</v>
      </c>
      <c r="D171" s="2" t="n">
        <v>45535</v>
      </c>
      <c r="E171" s="1" t="s">
        <v>24</v>
      </c>
      <c r="F171" s="1" t="n">
        <v>1650</v>
      </c>
      <c r="G171" s="3" t="n">
        <v>1650</v>
      </c>
      <c r="H171" s="3"/>
      <c r="I171" s="1" t="s">
        <v>15</v>
      </c>
      <c r="L171" s="1" t="str">
        <f aca="false">IFERROR(G171/J171,"")</f>
        <v/>
      </c>
    </row>
    <row r="172" customFormat="false" ht="13.8" hidden="false" customHeight="false" outlineLevel="0" collapsed="false">
      <c r="A172" s="1" t="s">
        <v>12</v>
      </c>
      <c r="B172" s="1" t="s">
        <v>75</v>
      </c>
      <c r="C172" s="2" t="n">
        <v>45505</v>
      </c>
      <c r="D172" s="2" t="n">
        <v>45535</v>
      </c>
      <c r="E172" s="1" t="s">
        <v>24</v>
      </c>
      <c r="F172" s="1" t="n">
        <v>1650</v>
      </c>
      <c r="G172" s="3" t="n">
        <v>1650</v>
      </c>
      <c r="H172" s="3"/>
      <c r="I172" s="1" t="s">
        <v>15</v>
      </c>
      <c r="L172" s="1" t="str">
        <f aca="false">IFERROR(G172/J172,"")</f>
        <v/>
      </c>
    </row>
    <row r="173" customFormat="false" ht="13.8" hidden="false" customHeight="false" outlineLevel="0" collapsed="false">
      <c r="A173" s="1" t="s">
        <v>12</v>
      </c>
      <c r="B173" s="1" t="s">
        <v>75</v>
      </c>
      <c r="C173" s="2" t="n">
        <v>45506</v>
      </c>
      <c r="D173" s="2" t="n">
        <v>45535</v>
      </c>
      <c r="E173" s="1" t="s">
        <v>49</v>
      </c>
      <c r="F173" s="1" t="n">
        <v>2470</v>
      </c>
      <c r="G173" s="3" t="n">
        <v>2470</v>
      </c>
      <c r="H173" s="3"/>
      <c r="I173" s="1" t="s">
        <v>15</v>
      </c>
      <c r="L173" s="1" t="str">
        <f aca="false">IFERROR(G173/J173,"")</f>
        <v/>
      </c>
    </row>
    <row r="174" customFormat="false" ht="13.8" hidden="false" customHeight="false" outlineLevel="0" collapsed="false">
      <c r="A174" s="1" t="s">
        <v>12</v>
      </c>
      <c r="B174" s="1" t="s">
        <v>75</v>
      </c>
      <c r="C174" s="2" t="n">
        <v>45509</v>
      </c>
      <c r="D174" s="2" t="n">
        <v>45541</v>
      </c>
      <c r="E174" s="1" t="s">
        <v>74</v>
      </c>
      <c r="F174" s="1" t="n">
        <v>3000</v>
      </c>
      <c r="G174" s="3" t="n">
        <v>3000</v>
      </c>
      <c r="H174" s="3"/>
      <c r="I174" s="1" t="s">
        <v>19</v>
      </c>
      <c r="L174" s="1" t="str">
        <f aca="false">IFERROR(G174/J174,"")</f>
        <v/>
      </c>
    </row>
    <row r="175" customFormat="false" ht="13.8" hidden="false" customHeight="false" outlineLevel="0" collapsed="false">
      <c r="A175" s="1" t="s">
        <v>12</v>
      </c>
      <c r="B175" s="1" t="s">
        <v>75</v>
      </c>
      <c r="C175" s="2" t="n">
        <v>45509</v>
      </c>
      <c r="D175" s="2" t="n">
        <v>45541</v>
      </c>
      <c r="E175" s="1" t="s">
        <v>74</v>
      </c>
      <c r="F175" s="1" t="n">
        <v>3000</v>
      </c>
      <c r="G175" s="3" t="n">
        <v>3000</v>
      </c>
      <c r="H175" s="3"/>
      <c r="I175" s="1" t="s">
        <v>19</v>
      </c>
      <c r="L175" s="1" t="str">
        <f aca="false">IFERROR(G175/J175,"")</f>
        <v/>
      </c>
    </row>
    <row r="176" customFormat="false" ht="13.8" hidden="false" customHeight="false" outlineLevel="0" collapsed="false">
      <c r="A176" s="1" t="s">
        <v>12</v>
      </c>
      <c r="B176" s="1" t="s">
        <v>75</v>
      </c>
      <c r="C176" s="2" t="n">
        <v>45512</v>
      </c>
      <c r="D176" s="2" t="n">
        <v>45541</v>
      </c>
      <c r="E176" s="1" t="s">
        <v>77</v>
      </c>
      <c r="F176" s="1" t="n">
        <v>4240</v>
      </c>
      <c r="G176" s="3" t="n">
        <v>4240</v>
      </c>
      <c r="H176" s="3"/>
      <c r="I176" s="1" t="s">
        <v>15</v>
      </c>
      <c r="L176" s="1" t="str">
        <f aca="false">IFERROR(G176/J176,"")</f>
        <v/>
      </c>
    </row>
    <row r="177" customFormat="false" ht="13.8" hidden="false" customHeight="false" outlineLevel="0" collapsed="false">
      <c r="A177" s="1" t="s">
        <v>50</v>
      </c>
      <c r="B177" s="1" t="s">
        <v>82</v>
      </c>
      <c r="C177" s="2" t="n">
        <v>45537</v>
      </c>
      <c r="D177" s="2" t="n">
        <v>45541</v>
      </c>
      <c r="E177" s="1" t="s">
        <v>39</v>
      </c>
      <c r="F177" s="1" t="n">
        <v>2097.2</v>
      </c>
      <c r="G177" s="3" t="n">
        <v>2097.2</v>
      </c>
      <c r="H177" s="3"/>
      <c r="I177" s="1" t="s">
        <v>15</v>
      </c>
      <c r="L177" s="1" t="str">
        <f aca="false">IFERROR(G177/J177,"")</f>
        <v/>
      </c>
    </row>
    <row r="178" customFormat="false" ht="13.8" hidden="false" customHeight="false" outlineLevel="0" collapsed="false">
      <c r="A178" s="1" t="s">
        <v>17</v>
      </c>
      <c r="B178" s="1" t="s">
        <v>82</v>
      </c>
      <c r="C178" s="2" t="n">
        <v>45539</v>
      </c>
      <c r="D178" s="2" t="n">
        <v>45545</v>
      </c>
      <c r="E178" s="1" t="s">
        <v>33</v>
      </c>
      <c r="F178" s="1" t="n">
        <v>3281.53</v>
      </c>
      <c r="G178" s="3" t="n">
        <v>3281.53</v>
      </c>
      <c r="H178" s="3"/>
      <c r="I178" s="1" t="s">
        <v>15</v>
      </c>
      <c r="L178" s="1" t="str">
        <f aca="false">IFERROR(G178/J178,"")</f>
        <v/>
      </c>
    </row>
    <row r="179" customFormat="false" ht="13.8" hidden="false" customHeight="false" outlineLevel="0" collapsed="false">
      <c r="A179" s="1" t="s">
        <v>17</v>
      </c>
      <c r="B179" s="1" t="s">
        <v>75</v>
      </c>
      <c r="C179" s="2" t="n">
        <v>45531</v>
      </c>
      <c r="D179" s="2" t="n">
        <v>45547</v>
      </c>
      <c r="E179" s="1" t="s">
        <v>83</v>
      </c>
      <c r="F179" s="1" t="n">
        <v>3500</v>
      </c>
      <c r="G179" s="3" t="n">
        <v>3500</v>
      </c>
      <c r="H179" s="3"/>
      <c r="I179" s="1" t="s">
        <v>19</v>
      </c>
      <c r="L179" s="1" t="str">
        <f aca="false">IFERROR(G179/J179,"")</f>
        <v/>
      </c>
    </row>
    <row r="180" customFormat="false" ht="13.8" hidden="false" customHeight="false" outlineLevel="0" collapsed="false">
      <c r="A180" s="1" t="s">
        <v>12</v>
      </c>
      <c r="B180" s="1" t="s">
        <v>75</v>
      </c>
      <c r="C180" s="2" t="n">
        <v>45533</v>
      </c>
      <c r="D180" s="2" t="n">
        <v>45550</v>
      </c>
      <c r="E180" s="1" t="s">
        <v>42</v>
      </c>
      <c r="F180" s="1" t="n">
        <v>4000</v>
      </c>
      <c r="G180" s="3" t="n">
        <v>4000</v>
      </c>
      <c r="H180" s="3"/>
      <c r="I180" s="1" t="s">
        <v>19</v>
      </c>
      <c r="L180" s="1" t="str">
        <f aca="false">IFERROR(G180/J180,"")</f>
        <v/>
      </c>
    </row>
    <row r="181" customFormat="false" ht="13.8" hidden="false" customHeight="false" outlineLevel="0" collapsed="false">
      <c r="A181" s="1" t="s">
        <v>12</v>
      </c>
      <c r="B181" s="1" t="s">
        <v>82</v>
      </c>
      <c r="C181" s="2" t="n">
        <v>45542</v>
      </c>
      <c r="D181" s="2" t="n">
        <v>45551</v>
      </c>
      <c r="E181" s="1" t="s">
        <v>22</v>
      </c>
      <c r="F181" s="1" t="n">
        <v>2720</v>
      </c>
      <c r="G181" s="3" t="n">
        <v>2720</v>
      </c>
      <c r="H181" s="3"/>
      <c r="I181" s="1" t="s">
        <v>15</v>
      </c>
      <c r="L181" s="1" t="str">
        <f aca="false">IFERROR(G181/J181,"")</f>
        <v/>
      </c>
    </row>
    <row r="182" customFormat="false" ht="13.8" hidden="false" customHeight="false" outlineLevel="0" collapsed="false">
      <c r="A182" s="1" t="s">
        <v>17</v>
      </c>
      <c r="B182" s="1" t="s">
        <v>75</v>
      </c>
      <c r="C182" s="2" t="n">
        <v>45522</v>
      </c>
      <c r="D182" s="2" t="n">
        <v>45552</v>
      </c>
      <c r="E182" s="1" t="s">
        <v>27</v>
      </c>
      <c r="F182" s="1" t="n">
        <v>3600</v>
      </c>
      <c r="G182" s="3" t="n">
        <v>3600</v>
      </c>
      <c r="H182" s="3"/>
      <c r="I182" s="1" t="s">
        <v>15</v>
      </c>
      <c r="L182" s="1" t="str">
        <f aca="false">IFERROR(G182/J182,"")</f>
        <v/>
      </c>
    </row>
    <row r="183" customFormat="false" ht="13.8" hidden="false" customHeight="false" outlineLevel="0" collapsed="false">
      <c r="A183" s="1" t="s">
        <v>17</v>
      </c>
      <c r="B183" s="1" t="s">
        <v>82</v>
      </c>
      <c r="C183" s="2" t="n">
        <v>45551</v>
      </c>
      <c r="D183" s="2" t="n">
        <v>45556</v>
      </c>
      <c r="E183" s="1" t="s">
        <v>26</v>
      </c>
      <c r="F183" s="1" t="n">
        <v>2165.58</v>
      </c>
      <c r="G183" s="3" t="n">
        <v>2165.58</v>
      </c>
      <c r="H183" s="3"/>
      <c r="I183" s="1" t="s">
        <v>15</v>
      </c>
      <c r="L183" s="1" t="str">
        <f aca="false">IFERROR(G183/J183,"")</f>
        <v/>
      </c>
    </row>
    <row r="184" customFormat="false" ht="13.8" hidden="false" customHeight="false" outlineLevel="0" collapsed="false">
      <c r="A184" s="1" t="s">
        <v>12</v>
      </c>
      <c r="B184" s="1" t="s">
        <v>82</v>
      </c>
      <c r="C184" s="2" t="n">
        <v>45551</v>
      </c>
      <c r="D184" s="2" t="n">
        <v>45556</v>
      </c>
      <c r="E184" s="1" t="s">
        <v>26</v>
      </c>
      <c r="F184" s="1" t="n">
        <v>2206.48</v>
      </c>
      <c r="G184" s="3" t="n">
        <v>2206.48</v>
      </c>
      <c r="H184" s="3"/>
      <c r="I184" s="1" t="s">
        <v>15</v>
      </c>
      <c r="L184" s="1" t="str">
        <f aca="false">IFERROR(G184/J184,"")</f>
        <v/>
      </c>
    </row>
    <row r="185" customFormat="false" ht="13.8" hidden="false" customHeight="false" outlineLevel="0" collapsed="false">
      <c r="A185" s="1" t="s">
        <v>50</v>
      </c>
      <c r="B185" s="1" t="s">
        <v>75</v>
      </c>
      <c r="C185" s="2" t="n">
        <v>45528</v>
      </c>
      <c r="D185" s="2" t="n">
        <v>45558</v>
      </c>
      <c r="E185" s="1" t="s">
        <v>80</v>
      </c>
      <c r="F185" s="1" t="n">
        <v>2000</v>
      </c>
      <c r="G185" s="3" t="n">
        <v>2000</v>
      </c>
      <c r="H185" s="3"/>
      <c r="I185" s="1" t="s">
        <v>19</v>
      </c>
      <c r="L185" s="1" t="str">
        <f aca="false">IFERROR(G185/J185,"")</f>
        <v/>
      </c>
    </row>
    <row r="186" customFormat="false" ht="13.8" hidden="false" customHeight="false" outlineLevel="0" collapsed="false">
      <c r="A186" s="1" t="s">
        <v>12</v>
      </c>
      <c r="B186" s="1" t="s">
        <v>82</v>
      </c>
      <c r="C186" s="2" t="n">
        <v>45560</v>
      </c>
      <c r="D186" s="2" t="n">
        <v>45560</v>
      </c>
      <c r="E186" s="1" t="s">
        <v>72</v>
      </c>
      <c r="F186" s="1" t="n">
        <v>1700</v>
      </c>
      <c r="G186" s="3" t="n">
        <v>1700</v>
      </c>
      <c r="H186" s="3"/>
      <c r="I186" s="1" t="s">
        <v>15</v>
      </c>
      <c r="L186" s="1" t="str">
        <f aca="false">IFERROR(G186/J186,"")</f>
        <v/>
      </c>
    </row>
    <row r="187" customFormat="false" ht="13.8" hidden="false" customHeight="false" outlineLevel="0" collapsed="false">
      <c r="A187" s="1" t="s">
        <v>17</v>
      </c>
      <c r="B187" s="1" t="s">
        <v>82</v>
      </c>
      <c r="C187" s="2" t="n">
        <v>45546</v>
      </c>
      <c r="D187" s="2" t="n">
        <v>45562</v>
      </c>
      <c r="E187" s="1" t="s">
        <v>84</v>
      </c>
      <c r="F187" s="1" t="n">
        <v>7332</v>
      </c>
      <c r="G187" s="3" t="n">
        <v>7332</v>
      </c>
      <c r="H187" s="3"/>
      <c r="I187" s="1" t="s">
        <v>15</v>
      </c>
      <c r="L187" s="1" t="str">
        <f aca="false">IFERROR(G187/J187,"")</f>
        <v/>
      </c>
    </row>
    <row r="188" customFormat="false" ht="13.8" hidden="false" customHeight="false" outlineLevel="0" collapsed="false">
      <c r="A188" s="1" t="s">
        <v>12</v>
      </c>
      <c r="B188" s="1" t="s">
        <v>82</v>
      </c>
      <c r="C188" s="2" t="n">
        <v>45546</v>
      </c>
      <c r="D188" s="2" t="n">
        <v>45562</v>
      </c>
      <c r="E188" s="1" t="s">
        <v>84</v>
      </c>
      <c r="F188" s="1" t="n">
        <v>4680</v>
      </c>
      <c r="G188" s="3" t="n">
        <v>4680</v>
      </c>
      <c r="H188" s="3"/>
      <c r="I188" s="1" t="s">
        <v>15</v>
      </c>
      <c r="L188" s="1" t="str">
        <f aca="false">IFERROR(G188/J188,"")</f>
        <v/>
      </c>
    </row>
    <row r="189" customFormat="false" ht="13.8" hidden="false" customHeight="false" outlineLevel="0" collapsed="false">
      <c r="A189" s="1" t="s">
        <v>12</v>
      </c>
      <c r="B189" s="1" t="s">
        <v>82</v>
      </c>
      <c r="C189" s="2" t="n">
        <v>45538</v>
      </c>
      <c r="D189" s="2" t="n">
        <v>45563</v>
      </c>
      <c r="E189" s="1" t="s">
        <v>49</v>
      </c>
      <c r="F189" s="1" t="n">
        <v>2204</v>
      </c>
      <c r="G189" s="3" t="n">
        <v>2204</v>
      </c>
      <c r="H189" s="3"/>
      <c r="I189" s="1" t="s">
        <v>15</v>
      </c>
      <c r="L189" s="1" t="str">
        <f aca="false">IFERROR(G189/J189,"")</f>
        <v/>
      </c>
    </row>
    <row r="190" customFormat="false" ht="13.8" hidden="false" customHeight="false" outlineLevel="0" collapsed="false">
      <c r="A190" s="1" t="s">
        <v>12</v>
      </c>
      <c r="B190" s="1" t="s">
        <v>82</v>
      </c>
      <c r="C190" s="2" t="n">
        <v>45559</v>
      </c>
      <c r="D190" s="2" t="n">
        <v>45563</v>
      </c>
      <c r="E190" s="1" t="s">
        <v>85</v>
      </c>
      <c r="F190" s="1" t="n">
        <v>1500</v>
      </c>
      <c r="G190" s="3" t="n">
        <v>1500</v>
      </c>
      <c r="H190" s="3"/>
      <c r="I190" s="1" t="s">
        <v>19</v>
      </c>
      <c r="L190" s="1" t="str">
        <f aca="false">IFERROR(G190/J190,"")</f>
        <v/>
      </c>
    </row>
    <row r="191" customFormat="false" ht="13.8" hidden="false" customHeight="false" outlineLevel="0" collapsed="false">
      <c r="A191" s="1" t="s">
        <v>17</v>
      </c>
      <c r="B191" s="1" t="s">
        <v>82</v>
      </c>
      <c r="C191" s="2" t="n">
        <v>45544</v>
      </c>
      <c r="D191" s="2" t="n">
        <v>45564</v>
      </c>
      <c r="E191" s="1" t="s">
        <v>86</v>
      </c>
      <c r="F191" s="1" t="n">
        <v>2531.2</v>
      </c>
      <c r="G191" s="3" t="n">
        <v>2531.2</v>
      </c>
      <c r="H191" s="3"/>
      <c r="I191" s="1" t="s">
        <v>19</v>
      </c>
      <c r="L191" s="1" t="str">
        <f aca="false">IFERROR(G191/J191,"")</f>
        <v/>
      </c>
    </row>
    <row r="192" customFormat="false" ht="13.8" hidden="false" customHeight="false" outlineLevel="0" collapsed="false">
      <c r="A192" s="1" t="s">
        <v>12</v>
      </c>
      <c r="B192" s="1" t="s">
        <v>82</v>
      </c>
      <c r="C192" s="2" t="n">
        <v>45544</v>
      </c>
      <c r="D192" s="2" t="n">
        <v>45564</v>
      </c>
      <c r="E192" s="1" t="s">
        <v>86</v>
      </c>
      <c r="F192" s="1" t="n">
        <v>2531.2</v>
      </c>
      <c r="G192" s="3" t="n">
        <v>2531.2</v>
      </c>
      <c r="H192" s="3"/>
      <c r="I192" s="1" t="s">
        <v>19</v>
      </c>
      <c r="L192" s="1" t="str">
        <f aca="false">IFERROR(G192/J192,"")</f>
        <v/>
      </c>
    </row>
    <row r="193" customFormat="false" ht="13.8" hidden="false" customHeight="false" outlineLevel="0" collapsed="false">
      <c r="A193" s="1" t="s">
        <v>17</v>
      </c>
      <c r="B193" s="1" t="s">
        <v>82</v>
      </c>
      <c r="C193" s="2" t="n">
        <v>45537</v>
      </c>
      <c r="D193" s="2" t="n">
        <v>45565</v>
      </c>
      <c r="E193" s="1" t="s">
        <v>46</v>
      </c>
      <c r="F193" s="1" t="n">
        <v>3024</v>
      </c>
      <c r="G193" s="3" t="n">
        <v>3024</v>
      </c>
      <c r="H193" s="3"/>
      <c r="I193" s="1" t="s">
        <v>15</v>
      </c>
      <c r="L193" s="1" t="str">
        <f aca="false">IFERROR(G193/J193,"")</f>
        <v/>
      </c>
    </row>
    <row r="194" customFormat="false" ht="13.8" hidden="false" customHeight="false" outlineLevel="0" collapsed="false">
      <c r="A194" s="1" t="s">
        <v>17</v>
      </c>
      <c r="B194" s="1" t="s">
        <v>82</v>
      </c>
      <c r="C194" s="2" t="n">
        <v>45537</v>
      </c>
      <c r="D194" s="2" t="n">
        <v>45565</v>
      </c>
      <c r="E194" s="1" t="s">
        <v>32</v>
      </c>
      <c r="F194" s="1" t="n">
        <v>3024</v>
      </c>
      <c r="G194" s="3" t="n">
        <v>3024</v>
      </c>
      <c r="H194" s="3"/>
      <c r="I194" s="1" t="s">
        <v>15</v>
      </c>
      <c r="L194" s="1" t="str">
        <f aca="false">IFERROR(G194/J194,"")</f>
        <v/>
      </c>
    </row>
    <row r="195" customFormat="false" ht="13.8" hidden="false" customHeight="false" outlineLevel="0" collapsed="false">
      <c r="A195" s="1" t="s">
        <v>12</v>
      </c>
      <c r="B195" s="1" t="s">
        <v>82</v>
      </c>
      <c r="C195" s="2" t="n">
        <v>45537</v>
      </c>
      <c r="D195" s="2" t="n">
        <v>45565</v>
      </c>
      <c r="E195" s="1" t="s">
        <v>72</v>
      </c>
      <c r="F195" s="1" t="n">
        <v>4920</v>
      </c>
      <c r="G195" s="3" t="n">
        <v>4920</v>
      </c>
      <c r="H195" s="3"/>
      <c r="I195" s="1" t="s">
        <v>15</v>
      </c>
      <c r="L195" s="1" t="str">
        <f aca="false">IFERROR(G195/J195,"")</f>
        <v/>
      </c>
    </row>
    <row r="196" customFormat="false" ht="13.8" hidden="false" customHeight="false" outlineLevel="0" collapsed="false">
      <c r="A196" s="1" t="s">
        <v>17</v>
      </c>
      <c r="B196" s="1" t="s">
        <v>82</v>
      </c>
      <c r="C196" s="2" t="n">
        <v>45553</v>
      </c>
      <c r="D196" s="2" t="n">
        <v>45565</v>
      </c>
      <c r="E196" s="1" t="s">
        <v>79</v>
      </c>
      <c r="F196" s="1" t="n">
        <v>2835.2</v>
      </c>
      <c r="G196" s="3" t="n">
        <v>2835.2</v>
      </c>
      <c r="H196" s="3"/>
      <c r="I196" s="1" t="s">
        <v>15</v>
      </c>
      <c r="L196" s="1" t="str">
        <f aca="false">IFERROR(G196/J196,"")</f>
        <v/>
      </c>
    </row>
    <row r="197" customFormat="false" ht="13.8" hidden="false" customHeight="false" outlineLevel="0" collapsed="false">
      <c r="A197" s="1" t="s">
        <v>17</v>
      </c>
      <c r="B197" s="1" t="s">
        <v>82</v>
      </c>
      <c r="C197" s="2" t="n">
        <v>45561</v>
      </c>
      <c r="D197" s="2" t="n">
        <v>45565</v>
      </c>
      <c r="E197" s="1" t="s">
        <v>54</v>
      </c>
      <c r="F197" s="1" t="n">
        <v>1600</v>
      </c>
      <c r="G197" s="3" t="n">
        <v>1600</v>
      </c>
      <c r="H197" s="3"/>
      <c r="I197" s="1" t="s">
        <v>15</v>
      </c>
      <c r="L197" s="1" t="str">
        <f aca="false">IFERROR(G197/J197,"")</f>
        <v/>
      </c>
    </row>
    <row r="198" customFormat="false" ht="13.8" hidden="false" customHeight="false" outlineLevel="0" collapsed="false">
      <c r="A198" s="1" t="s">
        <v>12</v>
      </c>
      <c r="B198" s="1" t="s">
        <v>87</v>
      </c>
      <c r="C198" s="2" t="n">
        <v>45568</v>
      </c>
      <c r="D198" s="2" t="n">
        <v>45570</v>
      </c>
      <c r="E198" s="1" t="s">
        <v>72</v>
      </c>
      <c r="F198" s="1" t="n">
        <v>3400</v>
      </c>
      <c r="G198" s="3" t="n">
        <v>3400</v>
      </c>
      <c r="H198" s="3"/>
      <c r="I198" s="1" t="s">
        <v>15</v>
      </c>
      <c r="L198" s="1" t="str">
        <f aca="false">IFERROR(G198/J198,"")</f>
        <v/>
      </c>
    </row>
    <row r="199" customFormat="false" ht="13.8" hidden="false" customHeight="false" outlineLevel="0" collapsed="false">
      <c r="A199" s="1" t="s">
        <v>17</v>
      </c>
      <c r="B199" s="1" t="s">
        <v>82</v>
      </c>
      <c r="C199" s="2" t="n">
        <v>45553</v>
      </c>
      <c r="D199" s="2" t="n">
        <v>45582</v>
      </c>
      <c r="E199" s="1" t="s">
        <v>27</v>
      </c>
      <c r="F199" s="1" t="n">
        <v>3600</v>
      </c>
      <c r="G199" s="3" t="n">
        <v>3600</v>
      </c>
      <c r="H199" s="3"/>
      <c r="I199" s="1" t="s">
        <v>15</v>
      </c>
      <c r="L199" s="1" t="str">
        <f aca="false">IFERROR(G199/J199,"")</f>
        <v/>
      </c>
    </row>
    <row r="200" customFormat="false" ht="13.8" hidden="false" customHeight="false" outlineLevel="0" collapsed="false">
      <c r="A200" s="1" t="s">
        <v>50</v>
      </c>
      <c r="B200" s="1" t="s">
        <v>82</v>
      </c>
      <c r="C200" s="2" t="n">
        <v>45559</v>
      </c>
      <c r="D200" s="2" t="n">
        <v>45588</v>
      </c>
      <c r="E200" s="1" t="s">
        <v>80</v>
      </c>
      <c r="F200" s="1" t="n">
        <v>2000</v>
      </c>
      <c r="G200" s="3" t="n">
        <v>2000</v>
      </c>
      <c r="H200" s="3"/>
      <c r="I200" s="1" t="s">
        <v>19</v>
      </c>
      <c r="L200" s="1" t="str">
        <f aca="false">IFERROR(G200/J200,"")</f>
        <v/>
      </c>
    </row>
    <row r="201" customFormat="false" ht="13.8" hidden="false" customHeight="false" outlineLevel="0" collapsed="false">
      <c r="A201" s="1" t="s">
        <v>12</v>
      </c>
      <c r="B201" s="1" t="s">
        <v>87</v>
      </c>
      <c r="C201" s="2" t="n">
        <v>45583</v>
      </c>
      <c r="D201" s="2" t="n">
        <v>45589</v>
      </c>
      <c r="E201" s="1" t="s">
        <v>76</v>
      </c>
      <c r="F201" s="1" t="n">
        <v>2025</v>
      </c>
      <c r="G201" s="3" t="n">
        <v>2025</v>
      </c>
      <c r="H201" s="3"/>
      <c r="I201" s="1" t="s">
        <v>19</v>
      </c>
      <c r="L201" s="1" t="str">
        <f aca="false">IFERROR(G201/J201,"")</f>
        <v/>
      </c>
    </row>
    <row r="202" customFormat="false" ht="13.8" hidden="false" customHeight="false" outlineLevel="0" collapsed="false">
      <c r="A202" s="1" t="s">
        <v>17</v>
      </c>
      <c r="B202" s="1" t="s">
        <v>87</v>
      </c>
      <c r="C202" s="2" t="n">
        <v>45569</v>
      </c>
      <c r="D202" s="2" t="n">
        <v>45590</v>
      </c>
      <c r="E202" s="1" t="s">
        <v>23</v>
      </c>
      <c r="F202" s="1" t="n">
        <v>7326</v>
      </c>
      <c r="G202" s="3" t="n">
        <v>7326</v>
      </c>
      <c r="H202" s="3"/>
      <c r="I202" s="1" t="s">
        <v>15</v>
      </c>
      <c r="L202" s="1" t="str">
        <f aca="false">IFERROR(G202/J202,"")</f>
        <v/>
      </c>
    </row>
    <row r="203" customFormat="false" ht="13.8" hidden="false" customHeight="false" outlineLevel="0" collapsed="false">
      <c r="A203" s="1" t="s">
        <v>17</v>
      </c>
      <c r="B203" s="1" t="s">
        <v>87</v>
      </c>
      <c r="C203" s="2" t="n">
        <v>45569</v>
      </c>
      <c r="D203" s="2" t="n">
        <v>45590</v>
      </c>
      <c r="E203" s="1" t="s">
        <v>23</v>
      </c>
      <c r="F203" s="1" t="n">
        <v>7326</v>
      </c>
      <c r="G203" s="3" t="n">
        <v>7326</v>
      </c>
      <c r="H203" s="3"/>
      <c r="I203" s="1" t="s">
        <v>15</v>
      </c>
      <c r="L203" s="1" t="str">
        <f aca="false">IFERROR(G203/J203,"")</f>
        <v/>
      </c>
    </row>
    <row r="204" customFormat="false" ht="13.8" hidden="false" customHeight="false" outlineLevel="0" collapsed="false">
      <c r="A204" s="1" t="s">
        <v>17</v>
      </c>
      <c r="B204" s="1" t="s">
        <v>87</v>
      </c>
      <c r="C204" s="2" t="n">
        <v>45572</v>
      </c>
      <c r="D204" s="2" t="n">
        <v>45590</v>
      </c>
      <c r="E204" s="1" t="s">
        <v>23</v>
      </c>
      <c r="F204" s="1" t="n">
        <v>3836</v>
      </c>
      <c r="G204" s="3" t="n">
        <v>3836</v>
      </c>
      <c r="H204" s="3"/>
      <c r="I204" s="1" t="s">
        <v>15</v>
      </c>
      <c r="L204" s="1" t="str">
        <f aca="false">IFERROR(G204/J204,"")</f>
        <v/>
      </c>
    </row>
    <row r="205" customFormat="false" ht="13.8" hidden="false" customHeight="false" outlineLevel="0" collapsed="false">
      <c r="A205" s="1" t="s">
        <v>17</v>
      </c>
      <c r="B205" s="1" t="s">
        <v>87</v>
      </c>
      <c r="C205" s="2" t="n">
        <v>45572</v>
      </c>
      <c r="D205" s="2" t="n">
        <v>45590</v>
      </c>
      <c r="E205" s="1" t="s">
        <v>54</v>
      </c>
      <c r="F205" s="1" t="n">
        <v>4600</v>
      </c>
      <c r="G205" s="3" t="n">
        <v>4600</v>
      </c>
      <c r="H205" s="3"/>
      <c r="I205" s="1" t="s">
        <v>15</v>
      </c>
      <c r="L205" s="1" t="str">
        <f aca="false">IFERROR(G205/J205,"")</f>
        <v/>
      </c>
    </row>
    <row r="206" customFormat="false" ht="13.8" hidden="false" customHeight="false" outlineLevel="0" collapsed="false">
      <c r="A206" s="1" t="s">
        <v>17</v>
      </c>
      <c r="B206" s="1" t="s">
        <v>87</v>
      </c>
      <c r="C206" s="2" t="n">
        <v>45572</v>
      </c>
      <c r="D206" s="2" t="n">
        <v>45590</v>
      </c>
      <c r="E206" s="1" t="s">
        <v>23</v>
      </c>
      <c r="F206" s="1" t="n">
        <v>3836</v>
      </c>
      <c r="G206" s="3" t="n">
        <v>3836</v>
      </c>
      <c r="H206" s="3"/>
      <c r="I206" s="1" t="s">
        <v>15</v>
      </c>
      <c r="L206" s="1" t="str">
        <f aca="false">IFERROR(G206/J206,"")</f>
        <v/>
      </c>
    </row>
    <row r="207" customFormat="false" ht="13.8" hidden="false" customHeight="false" outlineLevel="0" collapsed="false">
      <c r="A207" s="1" t="s">
        <v>12</v>
      </c>
      <c r="B207" s="1" t="s">
        <v>87</v>
      </c>
      <c r="C207" s="2" t="n">
        <v>45594</v>
      </c>
      <c r="D207" s="2" t="n">
        <v>45594</v>
      </c>
      <c r="E207" s="1" t="s">
        <v>72</v>
      </c>
      <c r="F207" s="1" t="n">
        <v>1700</v>
      </c>
      <c r="G207" s="3" t="n">
        <v>1700</v>
      </c>
      <c r="H207" s="3"/>
      <c r="I207" s="1" t="s">
        <v>15</v>
      </c>
      <c r="L207" s="1" t="str">
        <f aca="false">IFERROR(G207/J207,"")</f>
        <v/>
      </c>
    </row>
    <row r="208" customFormat="false" ht="13.8" hidden="false" customHeight="false" outlineLevel="0" collapsed="false">
      <c r="A208" s="1" t="s">
        <v>17</v>
      </c>
      <c r="B208" s="1" t="s">
        <v>87</v>
      </c>
      <c r="C208" s="2" t="n">
        <v>45566</v>
      </c>
      <c r="D208" s="2" t="n">
        <v>45596</v>
      </c>
      <c r="E208" s="1" t="s">
        <v>48</v>
      </c>
      <c r="F208" s="1" t="n">
        <v>2874.4</v>
      </c>
      <c r="G208" s="3" t="n">
        <v>2874.4</v>
      </c>
      <c r="H208" s="3"/>
      <c r="I208" s="1" t="s">
        <v>15</v>
      </c>
      <c r="L208" s="1" t="str">
        <f aca="false">IFERROR(G208/J208,"")</f>
        <v/>
      </c>
    </row>
    <row r="209" customFormat="false" ht="13.8" hidden="false" customHeight="false" outlineLevel="0" collapsed="false">
      <c r="A209" s="1" t="s">
        <v>17</v>
      </c>
      <c r="B209" s="1" t="s">
        <v>87</v>
      </c>
      <c r="C209" s="2" t="n">
        <v>45566</v>
      </c>
      <c r="D209" s="2" t="n">
        <v>45596</v>
      </c>
      <c r="E209" s="1" t="s">
        <v>46</v>
      </c>
      <c r="F209" s="1" t="n">
        <v>3312</v>
      </c>
      <c r="G209" s="3" t="n">
        <v>3312</v>
      </c>
      <c r="H209" s="3"/>
      <c r="I209" s="1" t="s">
        <v>15</v>
      </c>
      <c r="L209" s="1" t="str">
        <f aca="false">IFERROR(G209/J209,"")</f>
        <v/>
      </c>
    </row>
    <row r="210" customFormat="false" ht="13.8" hidden="false" customHeight="false" outlineLevel="0" collapsed="false">
      <c r="A210" s="1" t="s">
        <v>17</v>
      </c>
      <c r="B210" s="1" t="s">
        <v>87</v>
      </c>
      <c r="C210" s="2" t="n">
        <v>45566</v>
      </c>
      <c r="D210" s="2" t="n">
        <v>45596</v>
      </c>
      <c r="E210" s="1" t="s">
        <v>32</v>
      </c>
      <c r="F210" s="1" t="n">
        <v>4140</v>
      </c>
      <c r="G210" s="3" t="n">
        <v>4140</v>
      </c>
      <c r="H210" s="3"/>
      <c r="I210" s="1" t="s">
        <v>15</v>
      </c>
      <c r="L210" s="1" t="str">
        <f aca="false">IFERROR(G210/J210,"")</f>
        <v/>
      </c>
    </row>
    <row r="211" customFormat="false" ht="13.8" hidden="false" customHeight="false" outlineLevel="0" collapsed="false">
      <c r="A211" s="1" t="s">
        <v>12</v>
      </c>
      <c r="B211" s="1" t="s">
        <v>87</v>
      </c>
      <c r="C211" s="2" t="n">
        <v>45566</v>
      </c>
      <c r="D211" s="2" t="n">
        <v>45596</v>
      </c>
      <c r="E211" s="1" t="s">
        <v>72</v>
      </c>
      <c r="F211" s="1" t="n">
        <v>4920</v>
      </c>
      <c r="G211" s="3" t="n">
        <v>4920</v>
      </c>
      <c r="H211" s="3"/>
      <c r="I211" s="1" t="s">
        <v>15</v>
      </c>
      <c r="L211" s="1" t="str">
        <f aca="false">IFERROR(G211/J211,"")</f>
        <v/>
      </c>
    </row>
    <row r="212" customFormat="false" ht="13.8" hidden="false" customHeight="false" outlineLevel="0" collapsed="false">
      <c r="A212" s="1" t="s">
        <v>17</v>
      </c>
      <c r="B212" s="1" t="s">
        <v>87</v>
      </c>
      <c r="C212" s="2" t="n">
        <v>45574</v>
      </c>
      <c r="D212" s="2" t="n">
        <v>45596</v>
      </c>
      <c r="E212" s="1" t="s">
        <v>79</v>
      </c>
      <c r="F212" s="1" t="n">
        <v>3000</v>
      </c>
      <c r="G212" s="3" t="n">
        <v>3000</v>
      </c>
      <c r="H212" s="3"/>
      <c r="I212" s="1" t="s">
        <v>15</v>
      </c>
      <c r="L212" s="1" t="str">
        <f aca="false">IFERROR(G212/J212,"")</f>
        <v/>
      </c>
    </row>
    <row r="213" customFormat="false" ht="13.8" hidden="false" customHeight="false" outlineLevel="0" collapsed="false">
      <c r="A213" s="1" t="s">
        <v>50</v>
      </c>
      <c r="B213" s="1" t="s">
        <v>87</v>
      </c>
      <c r="C213" s="2" t="n">
        <v>45576</v>
      </c>
      <c r="D213" s="2" t="n">
        <v>45596</v>
      </c>
      <c r="E213" s="1" t="s">
        <v>88</v>
      </c>
      <c r="F213" s="1" t="n">
        <v>8333.34</v>
      </c>
      <c r="G213" s="3" t="n">
        <v>8333.34</v>
      </c>
      <c r="H213" s="3"/>
      <c r="I213" s="1" t="s">
        <v>19</v>
      </c>
      <c r="L213" s="1" t="str">
        <f aca="false">IFERROR(G213/J213,"")</f>
        <v/>
      </c>
    </row>
    <row r="214" customFormat="false" ht="13.8" hidden="false" customHeight="false" outlineLevel="0" collapsed="false">
      <c r="A214" s="1" t="s">
        <v>17</v>
      </c>
      <c r="B214" s="1" t="s">
        <v>89</v>
      </c>
      <c r="C214" s="2" t="n">
        <v>45598</v>
      </c>
      <c r="D214" s="2" t="n">
        <v>45604</v>
      </c>
      <c r="E214" s="1" t="s">
        <v>33</v>
      </c>
      <c r="F214" s="1" t="n">
        <v>3281.53</v>
      </c>
      <c r="G214" s="3" t="n">
        <v>3281.53</v>
      </c>
      <c r="H214" s="3"/>
      <c r="I214" s="1" t="s">
        <v>15</v>
      </c>
      <c r="L214" s="1" t="str">
        <f aca="false">IFERROR(G214/J214,"")</f>
        <v/>
      </c>
    </row>
    <row r="215" customFormat="false" ht="13.8" hidden="false" customHeight="false" outlineLevel="0" collapsed="false">
      <c r="A215" s="1" t="s">
        <v>50</v>
      </c>
      <c r="B215" s="1" t="s">
        <v>87</v>
      </c>
      <c r="C215" s="2" t="n">
        <v>45581</v>
      </c>
      <c r="D215" s="2" t="n">
        <v>45605</v>
      </c>
      <c r="E215" s="1" t="s">
        <v>80</v>
      </c>
      <c r="F215" s="1" t="n">
        <v>2000</v>
      </c>
      <c r="G215" s="3" t="n">
        <v>2000</v>
      </c>
      <c r="H215" s="3"/>
      <c r="I215" s="1" t="s">
        <v>19</v>
      </c>
      <c r="L215" s="1" t="str">
        <f aca="false">IFERROR(G215/J215,"")</f>
        <v/>
      </c>
    </row>
    <row r="216" customFormat="false" ht="13.8" hidden="false" customHeight="false" outlineLevel="0" collapsed="false">
      <c r="A216" s="1" t="s">
        <v>17</v>
      </c>
      <c r="B216" s="1" t="s">
        <v>87</v>
      </c>
      <c r="C216" s="2" t="n">
        <v>45583</v>
      </c>
      <c r="D216" s="2" t="n">
        <v>45613</v>
      </c>
      <c r="E216" s="1" t="s">
        <v>27</v>
      </c>
      <c r="F216" s="1" t="n">
        <v>3600</v>
      </c>
      <c r="G216" s="3" t="n">
        <v>3600</v>
      </c>
      <c r="H216" s="3"/>
      <c r="I216" s="1" t="s">
        <v>15</v>
      </c>
      <c r="L216" s="1" t="str">
        <f aca="false">IFERROR(G216/J216,"")</f>
        <v/>
      </c>
    </row>
    <row r="217" customFormat="false" ht="13.8" hidden="false" customHeight="false" outlineLevel="0" collapsed="false">
      <c r="A217" s="1" t="s">
        <v>17</v>
      </c>
      <c r="B217" s="1" t="s">
        <v>89</v>
      </c>
      <c r="C217" s="2" t="n">
        <v>45607</v>
      </c>
      <c r="D217" s="2" t="n">
        <v>45618</v>
      </c>
      <c r="E217" s="1" t="s">
        <v>54</v>
      </c>
      <c r="F217" s="1" t="n">
        <v>3600</v>
      </c>
      <c r="G217" s="3" t="n">
        <v>3600</v>
      </c>
      <c r="H217" s="3"/>
      <c r="I217" s="1" t="s">
        <v>15</v>
      </c>
      <c r="L217" s="1" t="str">
        <f aca="false">IFERROR(G217/J217,"")</f>
        <v/>
      </c>
    </row>
    <row r="218" customFormat="false" ht="13.8" hidden="false" customHeight="false" outlineLevel="0" collapsed="false">
      <c r="A218" s="1" t="s">
        <v>17</v>
      </c>
      <c r="B218" s="1" t="s">
        <v>87</v>
      </c>
      <c r="C218" s="2" t="n">
        <v>45590</v>
      </c>
      <c r="D218" s="2" t="n">
        <v>45621</v>
      </c>
      <c r="E218" s="1" t="s">
        <v>90</v>
      </c>
      <c r="F218" s="1" t="n">
        <v>4100</v>
      </c>
      <c r="G218" s="3" t="n">
        <v>4100</v>
      </c>
      <c r="H218" s="3"/>
      <c r="I218" s="1" t="s">
        <v>15</v>
      </c>
      <c r="L218" s="1" t="str">
        <f aca="false">IFERROR(G218/J218,"")</f>
        <v/>
      </c>
    </row>
    <row r="219" customFormat="false" ht="13.8" hidden="false" customHeight="false" outlineLevel="0" collapsed="false">
      <c r="A219" s="1" t="s">
        <v>50</v>
      </c>
      <c r="B219" s="1" t="s">
        <v>89</v>
      </c>
      <c r="C219" s="2" t="n">
        <v>45621</v>
      </c>
      <c r="D219" s="2" t="n">
        <v>45622</v>
      </c>
      <c r="E219" s="1" t="s">
        <v>91</v>
      </c>
      <c r="F219" s="1" t="n">
        <v>11195.11</v>
      </c>
      <c r="G219" s="3" t="n">
        <v>11195.11</v>
      </c>
      <c r="H219" s="3"/>
      <c r="I219" s="1" t="s">
        <v>19</v>
      </c>
      <c r="L219" s="1" t="str">
        <f aca="false">IFERROR(G219/J219,"")</f>
        <v/>
      </c>
    </row>
    <row r="220" customFormat="false" ht="13.8" hidden="false" customHeight="false" outlineLevel="0" collapsed="false">
      <c r="A220" s="1" t="s">
        <v>50</v>
      </c>
      <c r="B220" s="1" t="s">
        <v>89</v>
      </c>
      <c r="C220" s="2" t="n">
        <v>45622</v>
      </c>
      <c r="D220" s="2" t="n">
        <v>45622</v>
      </c>
      <c r="E220" s="1" t="s">
        <v>92</v>
      </c>
      <c r="F220" s="1" t="n">
        <v>600</v>
      </c>
      <c r="G220" s="1" t="n">
        <v>600</v>
      </c>
      <c r="I220" s="1" t="s">
        <v>19</v>
      </c>
      <c r="L220" s="1" t="str">
        <f aca="false">IFERROR(G220/J220,"")</f>
        <v/>
      </c>
    </row>
    <row r="221" customFormat="false" ht="13.8" hidden="false" customHeight="false" outlineLevel="0" collapsed="false">
      <c r="A221" s="1" t="s">
        <v>50</v>
      </c>
      <c r="B221" s="1" t="s">
        <v>89</v>
      </c>
      <c r="C221" s="2" t="n">
        <v>45597</v>
      </c>
      <c r="D221" s="2" t="n">
        <v>45625</v>
      </c>
      <c r="E221" s="1" t="s">
        <v>88</v>
      </c>
      <c r="F221" s="1" t="n">
        <v>8333.33</v>
      </c>
      <c r="G221" s="3" t="n">
        <v>8333.33</v>
      </c>
      <c r="H221" s="3"/>
      <c r="I221" s="1" t="s">
        <v>19</v>
      </c>
      <c r="L221" s="1" t="str">
        <f aca="false">IFERROR(G221/J221,"")</f>
        <v/>
      </c>
    </row>
    <row r="222" customFormat="false" ht="13.8" hidden="false" customHeight="false" outlineLevel="0" collapsed="false">
      <c r="A222" s="1" t="s">
        <v>17</v>
      </c>
      <c r="B222" s="1" t="s">
        <v>89</v>
      </c>
      <c r="C222" s="2" t="n">
        <v>45597</v>
      </c>
      <c r="D222" s="2" t="n">
        <v>45625</v>
      </c>
      <c r="E222" s="1" t="s">
        <v>46</v>
      </c>
      <c r="F222" s="1" t="n">
        <v>3024</v>
      </c>
      <c r="G222" s="3" t="n">
        <v>3024</v>
      </c>
      <c r="H222" s="3"/>
      <c r="I222" s="1" t="s">
        <v>15</v>
      </c>
      <c r="L222" s="1" t="str">
        <f aca="false">IFERROR(G222/J222,"")</f>
        <v/>
      </c>
    </row>
    <row r="223" customFormat="false" ht="13.8" hidden="false" customHeight="false" outlineLevel="0" collapsed="false">
      <c r="A223" s="1" t="s">
        <v>17</v>
      </c>
      <c r="B223" s="1" t="s">
        <v>89</v>
      </c>
      <c r="C223" s="2" t="n">
        <v>45597</v>
      </c>
      <c r="D223" s="2" t="n">
        <v>45625</v>
      </c>
      <c r="E223" s="1" t="s">
        <v>32</v>
      </c>
      <c r="F223" s="1" t="n">
        <v>3024</v>
      </c>
      <c r="G223" s="3" t="n">
        <v>3024</v>
      </c>
      <c r="H223" s="3"/>
      <c r="I223" s="1" t="s">
        <v>15</v>
      </c>
      <c r="L223" s="1" t="str">
        <f aca="false">IFERROR(G223/J223,"")</f>
        <v/>
      </c>
    </row>
    <row r="224" customFormat="false" ht="13.8" hidden="false" customHeight="false" outlineLevel="0" collapsed="false">
      <c r="A224" s="1" t="s">
        <v>17</v>
      </c>
      <c r="B224" s="1" t="s">
        <v>89</v>
      </c>
      <c r="C224" s="2" t="n">
        <v>45607</v>
      </c>
      <c r="D224" s="2" t="n">
        <v>45625</v>
      </c>
      <c r="E224" s="1" t="s">
        <v>93</v>
      </c>
      <c r="F224" s="1" t="n">
        <v>2500</v>
      </c>
      <c r="G224" s="3" t="n">
        <v>2500</v>
      </c>
      <c r="H224" s="3"/>
      <c r="I224" s="1" t="s">
        <v>15</v>
      </c>
      <c r="L224" s="1" t="str">
        <f aca="false">IFERROR(G224/J224,"")</f>
        <v/>
      </c>
    </row>
    <row r="225" customFormat="false" ht="13.8" hidden="false" customHeight="false" outlineLevel="0" collapsed="false">
      <c r="A225" s="1" t="s">
        <v>17</v>
      </c>
      <c r="B225" s="1" t="s">
        <v>89</v>
      </c>
      <c r="C225" s="2" t="n">
        <v>45607</v>
      </c>
      <c r="D225" s="2" t="n">
        <v>45625</v>
      </c>
      <c r="E225" s="1" t="s">
        <v>79</v>
      </c>
      <c r="F225" s="1" t="n">
        <v>2835.2</v>
      </c>
      <c r="G225" s="3" t="n">
        <v>2835.2</v>
      </c>
      <c r="H225" s="3"/>
      <c r="I225" s="1" t="s">
        <v>15</v>
      </c>
      <c r="L225" s="1" t="str">
        <f aca="false">IFERROR(G225/J225,"")</f>
        <v/>
      </c>
    </row>
    <row r="226" customFormat="false" ht="13.8" hidden="false" customHeight="false" outlineLevel="0" collapsed="false">
      <c r="A226" s="1" t="s">
        <v>12</v>
      </c>
      <c r="B226" s="1" t="s">
        <v>89</v>
      </c>
      <c r="C226" s="2" t="n">
        <v>45607</v>
      </c>
      <c r="D226" s="2" t="n">
        <v>45625</v>
      </c>
      <c r="E226" s="1" t="s">
        <v>93</v>
      </c>
      <c r="F226" s="1" t="n">
        <v>2500</v>
      </c>
      <c r="G226" s="3" t="n">
        <v>2500</v>
      </c>
      <c r="H226" s="3"/>
      <c r="I226" s="1" t="s">
        <v>15</v>
      </c>
      <c r="L226" s="1" t="str">
        <f aca="false">IFERROR(G226/J226,"")</f>
        <v/>
      </c>
    </row>
    <row r="227" customFormat="false" ht="13.8" hidden="false" customHeight="false" outlineLevel="0" collapsed="false">
      <c r="A227" s="1" t="s">
        <v>17</v>
      </c>
      <c r="B227" s="1" t="s">
        <v>89</v>
      </c>
      <c r="C227" s="2" t="n">
        <v>45611</v>
      </c>
      <c r="D227" s="2" t="n">
        <v>45625</v>
      </c>
      <c r="E227" s="1" t="s">
        <v>94</v>
      </c>
      <c r="F227" s="1" t="n">
        <v>5464.8</v>
      </c>
      <c r="G227" s="3" t="n">
        <v>5464.8</v>
      </c>
      <c r="H227" s="3"/>
      <c r="I227" s="1" t="s">
        <v>15</v>
      </c>
      <c r="L227" s="1" t="str">
        <f aca="false">IFERROR(G227/J227,"")</f>
        <v/>
      </c>
    </row>
    <row r="228" customFormat="false" ht="13.8" hidden="false" customHeight="false" outlineLevel="0" collapsed="false">
      <c r="A228" s="1" t="s">
        <v>17</v>
      </c>
      <c r="B228" s="1" t="s">
        <v>89</v>
      </c>
      <c r="C228" s="2" t="n">
        <v>45617</v>
      </c>
      <c r="D228" s="2" t="n">
        <v>45625</v>
      </c>
      <c r="E228" s="1" t="s">
        <v>95</v>
      </c>
      <c r="F228" s="1" t="n">
        <v>3078.12</v>
      </c>
      <c r="G228" s="3" t="n">
        <v>3078.12</v>
      </c>
      <c r="H228" s="3"/>
      <c r="I228" s="1" t="s">
        <v>15</v>
      </c>
      <c r="L228" s="1" t="str">
        <f aca="false">IFERROR(G228/J228,"")</f>
        <v/>
      </c>
    </row>
    <row r="229" customFormat="false" ht="13.8" hidden="false" customHeight="false" outlineLevel="0" collapsed="false">
      <c r="A229" s="1" t="s">
        <v>38</v>
      </c>
      <c r="B229" s="1" t="s">
        <v>89</v>
      </c>
      <c r="C229" s="2" t="n">
        <v>45621</v>
      </c>
      <c r="D229" s="2" t="n">
        <v>45625</v>
      </c>
      <c r="E229" s="1" t="s">
        <v>96</v>
      </c>
      <c r="F229" s="1" t="n">
        <v>4242.24</v>
      </c>
      <c r="G229" s="3" t="n">
        <v>4242.24</v>
      </c>
      <c r="H229" s="3"/>
      <c r="I229" s="1" t="s">
        <v>15</v>
      </c>
      <c r="L229" s="1" t="str">
        <f aca="false">IFERROR(G229/J229,"")</f>
        <v/>
      </c>
    </row>
    <row r="230" customFormat="false" ht="13.8" hidden="false" customHeight="false" outlineLevel="0" collapsed="false">
      <c r="A230" s="1" t="s">
        <v>12</v>
      </c>
      <c r="B230" s="1" t="s">
        <v>89</v>
      </c>
      <c r="C230" s="2" t="n">
        <v>45603</v>
      </c>
      <c r="D230" s="2" t="n">
        <v>45626</v>
      </c>
      <c r="E230" s="1" t="s">
        <v>72</v>
      </c>
      <c r="F230" s="1" t="n">
        <v>4920</v>
      </c>
      <c r="G230" s="3" t="n">
        <v>4920</v>
      </c>
      <c r="H230" s="3"/>
      <c r="I230" s="1" t="s">
        <v>15</v>
      </c>
      <c r="L230" s="1" t="str">
        <f aca="false">IFERROR(G230/J230,"")</f>
        <v/>
      </c>
    </row>
    <row r="231" customFormat="false" ht="13.8" hidden="false" customHeight="false" outlineLevel="0" collapsed="false">
      <c r="A231" s="1" t="s">
        <v>17</v>
      </c>
      <c r="B231" s="1" t="s">
        <v>89</v>
      </c>
      <c r="C231" s="2" t="n">
        <v>45604</v>
      </c>
      <c r="D231" s="2" t="n">
        <v>45626</v>
      </c>
      <c r="E231" s="1" t="s">
        <v>22</v>
      </c>
      <c r="F231" s="1" t="n">
        <v>5491.2</v>
      </c>
      <c r="G231" s="3" t="n">
        <v>5491.2</v>
      </c>
      <c r="H231" s="3"/>
      <c r="I231" s="1" t="s">
        <v>15</v>
      </c>
      <c r="L231" s="1" t="str">
        <f aca="false">IFERROR(G231/J231,"")</f>
        <v/>
      </c>
    </row>
    <row r="232" customFormat="false" ht="13.8" hidden="false" customHeight="false" outlineLevel="0" collapsed="false">
      <c r="A232" s="1" t="s">
        <v>12</v>
      </c>
      <c r="B232" s="1" t="s">
        <v>89</v>
      </c>
      <c r="C232" s="2" t="n">
        <v>45604</v>
      </c>
      <c r="D232" s="2" t="n">
        <v>45626</v>
      </c>
      <c r="E232" s="1" t="s">
        <v>22</v>
      </c>
      <c r="F232" s="1" t="n">
        <v>4435.2</v>
      </c>
      <c r="G232" s="3" t="n">
        <v>4435.2</v>
      </c>
      <c r="H232" s="3"/>
      <c r="I232" s="1" t="s">
        <v>15</v>
      </c>
      <c r="L232" s="1" t="str">
        <f aca="false">IFERROR(G232/J232,"")</f>
        <v/>
      </c>
    </row>
    <row r="233" customFormat="false" ht="13.8" hidden="false" customHeight="false" outlineLevel="0" collapsed="false">
      <c r="A233" s="1" t="s">
        <v>17</v>
      </c>
      <c r="B233" s="1" t="s">
        <v>89</v>
      </c>
      <c r="C233" s="2" t="n">
        <v>45610</v>
      </c>
      <c r="D233" s="2" t="n">
        <v>45626</v>
      </c>
      <c r="E233" s="1" t="s">
        <v>26</v>
      </c>
      <c r="F233" s="1" t="n">
        <v>5113.16</v>
      </c>
      <c r="G233" s="3" t="n">
        <v>5113.16</v>
      </c>
      <c r="H233" s="3"/>
      <c r="I233" s="1" t="s">
        <v>15</v>
      </c>
      <c r="L233" s="1" t="str">
        <f aca="false">IFERROR(G233/J233,"")</f>
        <v/>
      </c>
    </row>
    <row r="234" customFormat="false" ht="13.8" hidden="false" customHeight="false" outlineLevel="0" collapsed="false">
      <c r="A234" s="1" t="s">
        <v>17</v>
      </c>
      <c r="B234" s="1" t="s">
        <v>97</v>
      </c>
      <c r="C234" s="2" t="n">
        <v>45628</v>
      </c>
      <c r="D234" s="2" t="n">
        <v>45628</v>
      </c>
      <c r="E234" s="1" t="s">
        <v>22</v>
      </c>
      <c r="F234" s="1" t="n">
        <v>332.8</v>
      </c>
      <c r="G234" s="1" t="n">
        <v>332.8</v>
      </c>
      <c r="I234" s="1" t="s">
        <v>15</v>
      </c>
      <c r="L234" s="1" t="str">
        <f aca="false">IFERROR(G234/J234,"")</f>
        <v/>
      </c>
    </row>
    <row r="235" customFormat="false" ht="13.8" hidden="false" customHeight="false" outlineLevel="0" collapsed="false">
      <c r="A235" s="1" t="s">
        <v>12</v>
      </c>
      <c r="B235" s="1" t="s">
        <v>97</v>
      </c>
      <c r="C235" s="2" t="n">
        <v>45628</v>
      </c>
      <c r="D235" s="2" t="n">
        <v>45628</v>
      </c>
      <c r="E235" s="1" t="s">
        <v>22</v>
      </c>
      <c r="F235" s="1" t="n">
        <v>268.8</v>
      </c>
      <c r="G235" s="1" t="n">
        <v>268.8</v>
      </c>
      <c r="I235" s="1" t="s">
        <v>15</v>
      </c>
      <c r="L235" s="1" t="str">
        <f aca="false">IFERROR(G235/J235,"")</f>
        <v/>
      </c>
    </row>
    <row r="236" customFormat="false" ht="13.8" hidden="false" customHeight="false" outlineLevel="0" collapsed="false">
      <c r="A236" s="1" t="s">
        <v>50</v>
      </c>
      <c r="B236" s="1" t="s">
        <v>89</v>
      </c>
      <c r="C236" s="2" t="n">
        <v>45609</v>
      </c>
      <c r="D236" s="2" t="n">
        <v>45630</v>
      </c>
      <c r="E236" s="1" t="s">
        <v>80</v>
      </c>
      <c r="F236" s="1" t="n">
        <v>3000</v>
      </c>
      <c r="G236" s="3" t="n">
        <v>3000</v>
      </c>
      <c r="H236" s="3"/>
      <c r="I236" s="1" t="s">
        <v>19</v>
      </c>
      <c r="L236" s="1" t="str">
        <f aca="false">IFERROR(G236/J236,"")</f>
        <v/>
      </c>
    </row>
    <row r="237" customFormat="false" ht="13.8" hidden="false" customHeight="false" outlineLevel="0" collapsed="false">
      <c r="A237" s="1" t="s">
        <v>17</v>
      </c>
      <c r="B237" s="1" t="s">
        <v>97</v>
      </c>
      <c r="C237" s="2" t="n">
        <v>45628</v>
      </c>
      <c r="D237" s="2" t="n">
        <v>45630</v>
      </c>
      <c r="E237" s="1" t="s">
        <v>95</v>
      </c>
      <c r="F237" s="1" t="n">
        <v>1152</v>
      </c>
      <c r="G237" s="3" t="n">
        <v>1152</v>
      </c>
      <c r="H237" s="3"/>
      <c r="I237" s="1" t="s">
        <v>15</v>
      </c>
      <c r="L237" s="1" t="str">
        <f aca="false">IFERROR(G237/J237,"")</f>
        <v/>
      </c>
    </row>
    <row r="238" customFormat="false" ht="13.8" hidden="false" customHeight="false" outlineLevel="0" collapsed="false">
      <c r="A238" s="1" t="s">
        <v>38</v>
      </c>
      <c r="B238" s="1" t="s">
        <v>97</v>
      </c>
      <c r="C238" s="2" t="n">
        <v>45628</v>
      </c>
      <c r="D238" s="2" t="n">
        <v>45632</v>
      </c>
      <c r="E238" s="1" t="s">
        <v>96</v>
      </c>
      <c r="F238" s="1" t="n">
        <v>4242.24</v>
      </c>
      <c r="G238" s="3" t="n">
        <v>4242.24</v>
      </c>
      <c r="H238" s="3"/>
      <c r="I238" s="1" t="s">
        <v>15</v>
      </c>
      <c r="L238" s="1" t="str">
        <f aca="false">IFERROR(G238/J238,"")</f>
        <v/>
      </c>
    </row>
    <row r="239" customFormat="false" ht="13.8" hidden="false" customHeight="false" outlineLevel="0" collapsed="false">
      <c r="A239" s="1" t="s">
        <v>12</v>
      </c>
      <c r="B239" s="1" t="s">
        <v>89</v>
      </c>
      <c r="C239" s="2" t="n">
        <v>45597</v>
      </c>
      <c r="D239" s="2" t="n">
        <v>45633</v>
      </c>
      <c r="E239" s="1" t="s">
        <v>98</v>
      </c>
      <c r="F239" s="1" t="n">
        <v>4003.99</v>
      </c>
      <c r="G239" s="3" t="n">
        <v>4003.99</v>
      </c>
      <c r="H239" s="3"/>
      <c r="I239" s="1" t="s">
        <v>19</v>
      </c>
      <c r="L239" s="1" t="str">
        <f aca="false">IFERROR(G239/J239,"")</f>
        <v/>
      </c>
    </row>
    <row r="240" customFormat="false" ht="13.8" hidden="false" customHeight="false" outlineLevel="0" collapsed="false">
      <c r="A240" s="1" t="s">
        <v>50</v>
      </c>
      <c r="B240" s="1" t="s">
        <v>89</v>
      </c>
      <c r="C240" s="2" t="n">
        <v>45622</v>
      </c>
      <c r="D240" s="2" t="n">
        <v>45635</v>
      </c>
      <c r="E240" s="1" t="s">
        <v>56</v>
      </c>
      <c r="F240" s="1" t="n">
        <v>1200</v>
      </c>
      <c r="G240" s="3" t="n">
        <v>1200</v>
      </c>
      <c r="H240" s="3"/>
      <c r="I240" s="1" t="s">
        <v>15</v>
      </c>
      <c r="L240" s="1" t="str">
        <f aca="false">IFERROR(G240/J240,"")</f>
        <v/>
      </c>
    </row>
    <row r="241" customFormat="false" ht="13.8" hidden="false" customHeight="false" outlineLevel="0" collapsed="false">
      <c r="A241" s="1" t="s">
        <v>50</v>
      </c>
      <c r="B241" s="1" t="s">
        <v>89</v>
      </c>
      <c r="C241" s="2" t="n">
        <v>45622</v>
      </c>
      <c r="D241" s="2" t="n">
        <v>45635</v>
      </c>
      <c r="E241" s="1" t="s">
        <v>56</v>
      </c>
      <c r="F241" s="1" t="n">
        <v>1200</v>
      </c>
      <c r="G241" s="3" t="n">
        <v>1200</v>
      </c>
      <c r="H241" s="3"/>
      <c r="I241" s="1" t="s">
        <v>15</v>
      </c>
      <c r="L241" s="1" t="str">
        <f aca="false">IFERROR(G241/J241,"")</f>
        <v/>
      </c>
    </row>
    <row r="242" customFormat="false" ht="13.8" hidden="false" customHeight="false" outlineLevel="0" collapsed="false">
      <c r="A242" s="1" t="s">
        <v>17</v>
      </c>
      <c r="B242" s="1" t="s">
        <v>97</v>
      </c>
      <c r="C242" s="2" t="n">
        <v>45628</v>
      </c>
      <c r="D242" s="2" t="n">
        <v>45639</v>
      </c>
      <c r="E242" s="1" t="s">
        <v>94</v>
      </c>
      <c r="F242" s="1" t="n">
        <v>4752</v>
      </c>
      <c r="G242" s="3" t="n">
        <v>4752</v>
      </c>
      <c r="H242" s="3"/>
      <c r="I242" s="1" t="s">
        <v>15</v>
      </c>
      <c r="L242" s="1" t="str">
        <f aca="false">IFERROR(G242/J242,"")</f>
        <v/>
      </c>
    </row>
    <row r="243" customFormat="false" ht="13.8" hidden="false" customHeight="false" outlineLevel="0" collapsed="false">
      <c r="A243" s="1" t="s">
        <v>12</v>
      </c>
      <c r="B243" s="1" t="s">
        <v>97</v>
      </c>
      <c r="C243" s="2" t="n">
        <v>45627</v>
      </c>
      <c r="D243" s="2" t="n">
        <v>45641</v>
      </c>
      <c r="E243" s="1" t="s">
        <v>99</v>
      </c>
      <c r="F243" s="1" t="n">
        <v>2500</v>
      </c>
      <c r="G243" s="3" t="n">
        <v>2500</v>
      </c>
      <c r="H243" s="3"/>
      <c r="I243" s="1" t="s">
        <v>19</v>
      </c>
      <c r="L243" s="1" t="str">
        <f aca="false">IFERROR(G243/J243,"")</f>
        <v/>
      </c>
    </row>
    <row r="244" customFormat="false" ht="13.8" hidden="false" customHeight="false" outlineLevel="0" collapsed="false">
      <c r="A244" s="1" t="s">
        <v>17</v>
      </c>
      <c r="B244" s="1" t="s">
        <v>89</v>
      </c>
      <c r="C244" s="2" t="n">
        <v>45614</v>
      </c>
      <c r="D244" s="2" t="n">
        <v>45643</v>
      </c>
      <c r="E244" s="1" t="s">
        <v>27</v>
      </c>
      <c r="F244" s="1" t="n">
        <v>3600</v>
      </c>
      <c r="G244" s="3" t="n">
        <v>3600</v>
      </c>
      <c r="H244" s="3"/>
      <c r="I244" s="1" t="s">
        <v>15</v>
      </c>
      <c r="L244" s="1" t="str">
        <f aca="false">IFERROR(G244/J244,"")</f>
        <v/>
      </c>
    </row>
    <row r="245" customFormat="false" ht="13.8" hidden="false" customHeight="false" outlineLevel="0" collapsed="false">
      <c r="A245" s="1" t="s">
        <v>50</v>
      </c>
      <c r="B245" s="1" t="s">
        <v>97</v>
      </c>
      <c r="C245" s="2" t="n">
        <v>45628</v>
      </c>
      <c r="D245" s="2" t="n">
        <v>45643</v>
      </c>
      <c r="E245" s="1" t="s">
        <v>88</v>
      </c>
      <c r="F245" s="1" t="n">
        <v>8333.33</v>
      </c>
      <c r="G245" s="3" t="n">
        <v>8333.33</v>
      </c>
      <c r="H245" s="3"/>
      <c r="I245" s="1" t="s">
        <v>19</v>
      </c>
      <c r="L245" s="1" t="str">
        <f aca="false">IFERROR(G245/J245,"")</f>
        <v/>
      </c>
    </row>
    <row r="246" customFormat="false" ht="13.8" hidden="false" customHeight="false" outlineLevel="0" collapsed="false">
      <c r="A246" s="1" t="s">
        <v>17</v>
      </c>
      <c r="B246" s="1" t="s">
        <v>97</v>
      </c>
      <c r="C246" s="2" t="n">
        <v>45627</v>
      </c>
      <c r="D246" s="2" t="n">
        <v>45646</v>
      </c>
      <c r="E246" s="1" t="s">
        <v>26</v>
      </c>
      <c r="F246" s="1" t="n">
        <v>6015.48</v>
      </c>
      <c r="G246" s="3" t="n">
        <v>6015.48</v>
      </c>
      <c r="H246" s="3"/>
      <c r="I246" s="1" t="s">
        <v>15</v>
      </c>
      <c r="L246" s="1" t="str">
        <f aca="false">IFERROR(G246/J246,"")</f>
        <v/>
      </c>
    </row>
    <row r="247" customFormat="false" ht="13.8" hidden="false" customHeight="false" outlineLevel="0" collapsed="false">
      <c r="A247" s="1" t="s">
        <v>17</v>
      </c>
      <c r="B247" s="1" t="s">
        <v>97</v>
      </c>
      <c r="C247" s="2" t="n">
        <v>45635</v>
      </c>
      <c r="D247" s="2" t="n">
        <v>45646</v>
      </c>
      <c r="E247" s="1" t="s">
        <v>54</v>
      </c>
      <c r="F247" s="1" t="n">
        <v>2000</v>
      </c>
      <c r="G247" s="3" t="n">
        <v>2000</v>
      </c>
      <c r="H247" s="3"/>
      <c r="I247" s="1" t="s">
        <v>15</v>
      </c>
      <c r="L247" s="1" t="str">
        <f aca="false">IFERROR(G247/J247,"")</f>
        <v/>
      </c>
    </row>
    <row r="248" customFormat="false" ht="13.8" hidden="false" customHeight="false" outlineLevel="0" collapsed="false">
      <c r="A248" s="1" t="s">
        <v>12</v>
      </c>
      <c r="B248" s="1" t="s">
        <v>97</v>
      </c>
      <c r="C248" s="2" t="n">
        <v>45635</v>
      </c>
      <c r="D248" s="2" t="n">
        <v>45646</v>
      </c>
      <c r="E248" s="1" t="s">
        <v>35</v>
      </c>
      <c r="F248" s="1" t="n">
        <v>3708</v>
      </c>
      <c r="G248" s="3" t="n">
        <v>3708</v>
      </c>
      <c r="H248" s="3"/>
      <c r="I248" s="1" t="s">
        <v>15</v>
      </c>
      <c r="L248" s="1" t="str">
        <f aca="false">IFERROR(G248/J248,"")</f>
        <v/>
      </c>
    </row>
    <row r="249" customFormat="false" ht="13.8" hidden="false" customHeight="false" outlineLevel="0" collapsed="false">
      <c r="A249" s="1" t="s">
        <v>17</v>
      </c>
      <c r="B249" s="1" t="s">
        <v>97</v>
      </c>
      <c r="C249" s="2" t="n">
        <v>45628</v>
      </c>
      <c r="D249" s="2" t="n">
        <v>45649</v>
      </c>
      <c r="E249" s="1" t="s">
        <v>100</v>
      </c>
      <c r="F249" s="1" t="n">
        <v>2500</v>
      </c>
      <c r="G249" s="3" t="n">
        <v>2500</v>
      </c>
      <c r="H249" s="3"/>
      <c r="I249" s="1" t="s">
        <v>15</v>
      </c>
      <c r="L249" s="1" t="str">
        <f aca="false">IFERROR(G249/J249,"")</f>
        <v/>
      </c>
    </row>
    <row r="250" customFormat="false" ht="13.8" hidden="false" customHeight="false" outlineLevel="0" collapsed="false">
      <c r="A250" s="1" t="s">
        <v>17</v>
      </c>
      <c r="B250" s="1" t="s">
        <v>97</v>
      </c>
      <c r="C250" s="2" t="n">
        <v>45637</v>
      </c>
      <c r="D250" s="2" t="n">
        <v>45649</v>
      </c>
      <c r="E250" s="1" t="s">
        <v>95</v>
      </c>
      <c r="F250" s="1" t="n">
        <v>3985.33</v>
      </c>
      <c r="G250" s="3" t="n">
        <v>3985.33</v>
      </c>
      <c r="H250" s="3"/>
      <c r="I250" s="1" t="s">
        <v>15</v>
      </c>
      <c r="L250" s="1" t="str">
        <f aca="false">IFERROR(G250/J250,"")</f>
        <v/>
      </c>
    </row>
    <row r="251" customFormat="false" ht="13.8" hidden="false" customHeight="false" outlineLevel="0" collapsed="false">
      <c r="A251" s="1" t="s">
        <v>12</v>
      </c>
      <c r="B251" s="1" t="s">
        <v>97</v>
      </c>
      <c r="C251" s="2" t="n">
        <v>45628</v>
      </c>
      <c r="D251" s="2" t="n">
        <v>45650</v>
      </c>
      <c r="E251" s="1" t="s">
        <v>100</v>
      </c>
      <c r="F251" s="1" t="n">
        <v>2500</v>
      </c>
      <c r="G251" s="3" t="n">
        <v>2500</v>
      </c>
      <c r="H251" s="3"/>
      <c r="I251" s="1" t="s">
        <v>15</v>
      </c>
      <c r="L251" s="1" t="str">
        <f aca="false">IFERROR(G251/J251,"")</f>
        <v/>
      </c>
    </row>
    <row r="252" customFormat="false" ht="13.8" hidden="false" customHeight="false" outlineLevel="0" collapsed="false">
      <c r="A252" s="1" t="s">
        <v>17</v>
      </c>
      <c r="B252" s="1" t="s">
        <v>89</v>
      </c>
      <c r="C252" s="2" t="n">
        <v>45621</v>
      </c>
      <c r="D252" s="2" t="n">
        <v>45651</v>
      </c>
      <c r="E252" s="1" t="s">
        <v>90</v>
      </c>
      <c r="F252" s="1" t="n">
        <v>4100</v>
      </c>
      <c r="G252" s="3" t="n">
        <v>4100</v>
      </c>
      <c r="H252" s="3"/>
      <c r="I252" s="1" t="s">
        <v>15</v>
      </c>
      <c r="L252" s="1" t="str">
        <f aca="false">IFERROR(G252/J252,"")</f>
        <v/>
      </c>
    </row>
    <row r="253" customFormat="false" ht="13.8" hidden="false" customHeight="false" outlineLevel="0" collapsed="false">
      <c r="A253" s="1" t="s">
        <v>17</v>
      </c>
      <c r="B253" s="1" t="s">
        <v>97</v>
      </c>
      <c r="C253" s="2" t="n">
        <v>45646</v>
      </c>
      <c r="D253" s="2" t="n">
        <v>45655</v>
      </c>
      <c r="E253" s="1" t="s">
        <v>101</v>
      </c>
      <c r="F253" s="1" t="n">
        <v>1984.32</v>
      </c>
      <c r="G253" s="3" t="n">
        <v>1984.32</v>
      </c>
      <c r="H253" s="3"/>
      <c r="I253" s="1" t="s">
        <v>19</v>
      </c>
      <c r="L253" s="1" t="str">
        <f aca="false">IFERROR(G253/J253,"")</f>
        <v/>
      </c>
    </row>
    <row r="254" customFormat="false" ht="13.8" hidden="false" customHeight="false" outlineLevel="0" collapsed="false">
      <c r="A254" s="1" t="s">
        <v>17</v>
      </c>
      <c r="B254" s="1" t="s">
        <v>97</v>
      </c>
      <c r="C254" s="2" t="n">
        <v>45646</v>
      </c>
      <c r="D254" s="2" t="n">
        <v>45655</v>
      </c>
      <c r="E254" s="1" t="s">
        <v>102</v>
      </c>
      <c r="F254" s="1" t="n">
        <v>496.08</v>
      </c>
      <c r="G254" s="1" t="n">
        <v>496.08</v>
      </c>
      <c r="I254" s="1" t="s">
        <v>19</v>
      </c>
      <c r="L254" s="1" t="str">
        <f aca="false">IFERROR(G254/J254,"")</f>
        <v/>
      </c>
    </row>
    <row r="255" customFormat="false" ht="13.8" hidden="false" customHeight="false" outlineLevel="0" collapsed="false">
      <c r="A255" s="1" t="s">
        <v>17</v>
      </c>
      <c r="B255" s="1" t="s">
        <v>34</v>
      </c>
      <c r="C255" s="2" t="n">
        <v>45352</v>
      </c>
      <c r="D255" s="2" t="n">
        <v>45657</v>
      </c>
      <c r="E255" s="1" t="s">
        <v>20</v>
      </c>
      <c r="F255" s="1" t="n">
        <v>5500</v>
      </c>
      <c r="G255" s="3" t="n">
        <v>5500</v>
      </c>
      <c r="H255" s="3"/>
      <c r="I255" s="1" t="s">
        <v>15</v>
      </c>
      <c r="L255" s="1" t="str">
        <f aca="false">IFERROR(G255/J255,"")</f>
        <v/>
      </c>
    </row>
    <row r="256" customFormat="false" ht="13.8" hidden="false" customHeight="false" outlineLevel="0" collapsed="false">
      <c r="A256" s="1" t="s">
        <v>17</v>
      </c>
      <c r="B256" s="1" t="s">
        <v>43</v>
      </c>
      <c r="C256" s="2" t="n">
        <v>45399</v>
      </c>
      <c r="D256" s="2" t="n">
        <v>45657</v>
      </c>
      <c r="E256" s="1" t="s">
        <v>59</v>
      </c>
      <c r="F256" s="1" t="n">
        <v>12000</v>
      </c>
      <c r="G256" s="3" t="n">
        <v>12000</v>
      </c>
      <c r="H256" s="3"/>
      <c r="I256" s="1" t="s">
        <v>15</v>
      </c>
      <c r="L256" s="1" t="str">
        <f aca="false">IFERROR(G256/J256,"")</f>
        <v/>
      </c>
    </row>
    <row r="257" customFormat="false" ht="13.8" hidden="false" customHeight="false" outlineLevel="0" collapsed="false">
      <c r="A257" s="1" t="s">
        <v>12</v>
      </c>
      <c r="B257" s="1" t="s">
        <v>43</v>
      </c>
      <c r="C257" s="2" t="n">
        <v>45399</v>
      </c>
      <c r="D257" s="2" t="n">
        <v>45657</v>
      </c>
      <c r="E257" s="1" t="s">
        <v>59</v>
      </c>
      <c r="F257" s="1" t="n">
        <v>12000</v>
      </c>
      <c r="G257" s="3" t="n">
        <v>12000</v>
      </c>
      <c r="H257" s="3"/>
      <c r="I257" s="1" t="s">
        <v>15</v>
      </c>
      <c r="L257" s="1" t="str">
        <f aca="false">IFERROR(G257/J257,"")</f>
        <v/>
      </c>
    </row>
    <row r="258" customFormat="false" ht="13.8" hidden="false" customHeight="false" outlineLevel="0" collapsed="false">
      <c r="A258" s="1" t="s">
        <v>17</v>
      </c>
      <c r="B258" s="1" t="s">
        <v>87</v>
      </c>
      <c r="C258" s="2" t="n">
        <v>45583</v>
      </c>
      <c r="D258" s="2" t="n">
        <v>45657</v>
      </c>
      <c r="E258" s="1" t="s">
        <v>59</v>
      </c>
      <c r="F258" s="1" t="n">
        <v>20000</v>
      </c>
      <c r="G258" s="3" t="n">
        <v>20000</v>
      </c>
      <c r="H258" s="3"/>
      <c r="I258" s="1" t="s">
        <v>15</v>
      </c>
      <c r="L258" s="1" t="str">
        <f aca="false">IFERROR(G258/J258,"")</f>
        <v/>
      </c>
    </row>
    <row r="259" customFormat="false" ht="13.8" hidden="false" customHeight="false" outlineLevel="0" collapsed="false">
      <c r="A259" s="1" t="s">
        <v>17</v>
      </c>
      <c r="B259" s="1" t="s">
        <v>89</v>
      </c>
      <c r="C259" s="2" t="n">
        <v>45608</v>
      </c>
      <c r="D259" s="2" t="n">
        <v>45657</v>
      </c>
      <c r="E259" s="1" t="s">
        <v>103</v>
      </c>
      <c r="F259" s="1" t="n">
        <v>44807.5</v>
      </c>
      <c r="G259" s="3" t="n">
        <v>44807.5</v>
      </c>
      <c r="H259" s="3"/>
      <c r="I259" s="1" t="s">
        <v>19</v>
      </c>
      <c r="L259" s="1" t="str">
        <f aca="false">IFERROR(G259/J259,"")</f>
        <v/>
      </c>
    </row>
    <row r="260" customFormat="false" ht="13.8" hidden="false" customHeight="false" outlineLevel="0" collapsed="false">
      <c r="A260" s="1" t="s">
        <v>12</v>
      </c>
      <c r="B260" s="1" t="s">
        <v>89</v>
      </c>
      <c r="C260" s="2" t="n">
        <v>45617</v>
      </c>
      <c r="D260" s="2" t="n">
        <v>45657</v>
      </c>
      <c r="E260" s="1" t="s">
        <v>104</v>
      </c>
      <c r="F260" s="1" t="n">
        <v>5000</v>
      </c>
      <c r="G260" s="3" t="n">
        <v>5000</v>
      </c>
      <c r="H260" s="3"/>
      <c r="I260" s="1" t="s">
        <v>15</v>
      </c>
      <c r="L260" s="1" t="str">
        <f aca="false">IFERROR(G260/J260,"")</f>
        <v/>
      </c>
    </row>
    <row r="261" customFormat="false" ht="13.8" hidden="false" customHeight="false" outlineLevel="0" collapsed="false">
      <c r="A261" s="1" t="s">
        <v>12</v>
      </c>
      <c r="B261" s="1" t="s">
        <v>89</v>
      </c>
      <c r="C261" s="2" t="n">
        <v>45617</v>
      </c>
      <c r="D261" s="2" t="n">
        <v>45657</v>
      </c>
      <c r="E261" s="1" t="s">
        <v>104</v>
      </c>
      <c r="F261" s="1" t="n">
        <v>5048.43</v>
      </c>
      <c r="G261" s="3" t="n">
        <v>5048.43</v>
      </c>
      <c r="H261" s="3"/>
      <c r="I261" s="1" t="s">
        <v>15</v>
      </c>
      <c r="L261" s="1" t="str">
        <f aca="false">IFERROR(G261/J261,"")</f>
        <v/>
      </c>
    </row>
    <row r="262" customFormat="false" ht="13.8" hidden="false" customHeight="false" outlineLevel="0" collapsed="false">
      <c r="A262" s="1" t="s">
        <v>12</v>
      </c>
      <c r="B262" s="1" t="s">
        <v>89</v>
      </c>
      <c r="C262" s="2" t="n">
        <v>45621</v>
      </c>
      <c r="D262" s="2" t="n">
        <v>45657</v>
      </c>
      <c r="E262" s="1" t="s">
        <v>105</v>
      </c>
      <c r="F262" s="1" t="n">
        <v>16949.4</v>
      </c>
      <c r="G262" s="3" t="n">
        <v>16949.4</v>
      </c>
      <c r="H262" s="3"/>
      <c r="I262" s="1" t="s">
        <v>19</v>
      </c>
      <c r="L262" s="1" t="str">
        <f aca="false">IFERROR(G262/J262,"")</f>
        <v/>
      </c>
    </row>
    <row r="263" customFormat="false" ht="13.8" hidden="false" customHeight="false" outlineLevel="0" collapsed="false">
      <c r="A263" s="1" t="s">
        <v>50</v>
      </c>
      <c r="B263" s="1" t="s">
        <v>97</v>
      </c>
      <c r="C263" s="2" t="n">
        <v>45627</v>
      </c>
      <c r="D263" s="2" t="n">
        <v>45657</v>
      </c>
      <c r="E263" s="1" t="s">
        <v>106</v>
      </c>
      <c r="F263" s="1" t="n">
        <v>7000</v>
      </c>
      <c r="G263" s="3" t="n">
        <v>7000</v>
      </c>
      <c r="H263" s="3"/>
      <c r="I263" s="1" t="s">
        <v>19</v>
      </c>
      <c r="L263" s="1" t="str">
        <f aca="false">IFERROR(G263/J263,"")</f>
        <v/>
      </c>
    </row>
    <row r="264" customFormat="false" ht="13.8" hidden="false" customHeight="false" outlineLevel="0" collapsed="false">
      <c r="A264" s="1" t="s">
        <v>17</v>
      </c>
      <c r="B264" s="1" t="s">
        <v>97</v>
      </c>
      <c r="C264" s="2" t="n">
        <v>45627</v>
      </c>
      <c r="D264" s="2" t="n">
        <v>45657</v>
      </c>
      <c r="E264" s="1" t="s">
        <v>48</v>
      </c>
      <c r="F264" s="1" t="n">
        <v>2874.4</v>
      </c>
      <c r="G264" s="3" t="n">
        <v>2874.4</v>
      </c>
      <c r="H264" s="3"/>
      <c r="I264" s="1" t="s">
        <v>15</v>
      </c>
      <c r="L264" s="1" t="str">
        <f aca="false">IFERROR(G264/J264,"")</f>
        <v/>
      </c>
    </row>
    <row r="265" customFormat="false" ht="13.8" hidden="false" customHeight="false" outlineLevel="0" collapsed="false">
      <c r="A265" s="1" t="s">
        <v>12</v>
      </c>
      <c r="B265" s="1" t="s">
        <v>97</v>
      </c>
      <c r="C265" s="2" t="n">
        <v>45630</v>
      </c>
      <c r="D265" s="2" t="n">
        <v>45657</v>
      </c>
      <c r="E265" s="1" t="s">
        <v>72</v>
      </c>
      <c r="F265" s="1" t="n">
        <v>4928.2</v>
      </c>
      <c r="G265" s="3" t="n">
        <v>4928.2</v>
      </c>
      <c r="H265" s="3"/>
      <c r="I265" s="1" t="s">
        <v>15</v>
      </c>
      <c r="L265" s="1" t="str">
        <f aca="false">IFERROR(G265/J265,"")</f>
        <v/>
      </c>
    </row>
    <row r="266" customFormat="false" ht="13.8" hidden="false" customHeight="false" outlineLevel="0" collapsed="false">
      <c r="A266" s="1" t="s">
        <v>12</v>
      </c>
      <c r="B266" s="1" t="s">
        <v>97</v>
      </c>
      <c r="C266" s="2" t="n">
        <v>45637</v>
      </c>
      <c r="D266" s="2" t="n">
        <v>45657</v>
      </c>
      <c r="E266" s="1" t="s">
        <v>21</v>
      </c>
      <c r="F266" s="1" t="n">
        <v>6788.71</v>
      </c>
      <c r="G266" s="3" t="n">
        <v>6788.71</v>
      </c>
      <c r="H266" s="3"/>
      <c r="I266" s="1" t="s">
        <v>15</v>
      </c>
      <c r="L266" s="1" t="str">
        <f aca="false">IFERROR(G266/J266,"")</f>
        <v/>
      </c>
    </row>
    <row r="267" customFormat="false" ht="13.8" hidden="false" customHeight="false" outlineLevel="0" collapsed="false">
      <c r="A267" s="1" t="s">
        <v>12</v>
      </c>
      <c r="B267" s="1" t="s">
        <v>107</v>
      </c>
      <c r="C267" s="2" t="n">
        <v>45673</v>
      </c>
      <c r="D267" s="2" t="n">
        <v>45673</v>
      </c>
      <c r="E267" s="1" t="s">
        <v>72</v>
      </c>
      <c r="F267" s="1" t="n">
        <v>3600</v>
      </c>
      <c r="G267" s="3" t="n">
        <v>3600</v>
      </c>
      <c r="H267" s="3"/>
      <c r="I267" s="1" t="s">
        <v>15</v>
      </c>
      <c r="L267" s="1" t="str">
        <f aca="false">IFERROR(G267/J267,"")</f>
        <v/>
      </c>
    </row>
    <row r="268" customFormat="false" ht="13.8" hidden="false" customHeight="false" outlineLevel="0" collapsed="false">
      <c r="A268" s="1" t="s">
        <v>12</v>
      </c>
      <c r="B268" s="1" t="s">
        <v>97</v>
      </c>
      <c r="C268" s="2" t="n">
        <v>45642</v>
      </c>
      <c r="D268" s="2" t="n">
        <v>45674</v>
      </c>
      <c r="E268" s="1" t="s">
        <v>108</v>
      </c>
      <c r="F268" s="1" t="n">
        <v>5500</v>
      </c>
      <c r="G268" s="3" t="n">
        <v>5500</v>
      </c>
      <c r="H268" s="3"/>
      <c r="I268" s="1" t="s">
        <v>15</v>
      </c>
      <c r="L268" s="1" t="str">
        <f aca="false">IFERROR(G268/J268,"")</f>
        <v/>
      </c>
    </row>
    <row r="269" customFormat="false" ht="13.8" hidden="false" customHeight="false" outlineLevel="0" collapsed="false">
      <c r="A269" s="1" t="s">
        <v>17</v>
      </c>
      <c r="B269" s="1" t="s">
        <v>97</v>
      </c>
      <c r="C269" s="2" t="n">
        <v>45644</v>
      </c>
      <c r="D269" s="2" t="n">
        <v>45674</v>
      </c>
      <c r="E269" s="1" t="s">
        <v>27</v>
      </c>
      <c r="F269" s="1" t="n">
        <v>3600</v>
      </c>
      <c r="G269" s="3" t="n">
        <v>3600</v>
      </c>
      <c r="H269" s="3"/>
      <c r="I269" s="1" t="s">
        <v>15</v>
      </c>
      <c r="L269" s="1" t="str">
        <f aca="false">IFERROR(G269/J269,"")</f>
        <v/>
      </c>
    </row>
    <row r="270" customFormat="false" ht="13.8" hidden="false" customHeight="false" outlineLevel="0" collapsed="false">
      <c r="A270" s="1" t="s">
        <v>17</v>
      </c>
      <c r="B270" s="1" t="s">
        <v>107</v>
      </c>
      <c r="C270" s="2" t="n">
        <v>45667</v>
      </c>
      <c r="D270" s="2" t="n">
        <v>45675</v>
      </c>
      <c r="E270" s="1" t="s">
        <v>22</v>
      </c>
      <c r="F270" s="1" t="n">
        <v>3744</v>
      </c>
      <c r="G270" s="3" t="n">
        <v>3744</v>
      </c>
      <c r="H270" s="3"/>
      <c r="I270" s="1" t="s">
        <v>15</v>
      </c>
      <c r="L270" s="1" t="str">
        <f aca="false">IFERROR(G270/J270,"")</f>
        <v/>
      </c>
    </row>
    <row r="271" customFormat="false" ht="13.8" hidden="false" customHeight="false" outlineLevel="0" collapsed="false">
      <c r="A271" s="1" t="s">
        <v>12</v>
      </c>
      <c r="B271" s="1" t="s">
        <v>107</v>
      </c>
      <c r="C271" s="2" t="n">
        <v>45667</v>
      </c>
      <c r="D271" s="2" t="n">
        <v>45675</v>
      </c>
      <c r="E271" s="1" t="s">
        <v>22</v>
      </c>
      <c r="F271" s="1" t="n">
        <v>3060</v>
      </c>
      <c r="G271" s="3" t="n">
        <v>3060</v>
      </c>
      <c r="H271" s="3"/>
      <c r="I271" s="1" t="s">
        <v>15</v>
      </c>
      <c r="L271" s="1" t="str">
        <f aca="false">IFERROR(G271/J271,"")</f>
        <v/>
      </c>
    </row>
    <row r="272" customFormat="false" ht="13.8" hidden="false" customHeight="false" outlineLevel="0" collapsed="false">
      <c r="A272" s="1" t="s">
        <v>17</v>
      </c>
      <c r="B272" s="1" t="s">
        <v>107</v>
      </c>
      <c r="C272" s="2" t="n">
        <v>45672</v>
      </c>
      <c r="D272" s="2" t="n">
        <v>45676</v>
      </c>
      <c r="E272" s="1" t="s">
        <v>22</v>
      </c>
      <c r="F272" s="1" t="n">
        <v>2080</v>
      </c>
      <c r="G272" s="3" t="n">
        <v>2080</v>
      </c>
      <c r="H272" s="3"/>
      <c r="I272" s="1" t="s">
        <v>15</v>
      </c>
      <c r="L272" s="1" t="str">
        <f aca="false">IFERROR(G272/J272,"")</f>
        <v/>
      </c>
    </row>
    <row r="273" customFormat="false" ht="13.8" hidden="false" customHeight="false" outlineLevel="0" collapsed="false">
      <c r="A273" s="1" t="s">
        <v>12</v>
      </c>
      <c r="B273" s="1" t="s">
        <v>107</v>
      </c>
      <c r="C273" s="2" t="n">
        <v>45672</v>
      </c>
      <c r="D273" s="2" t="n">
        <v>45676</v>
      </c>
      <c r="E273" s="1" t="s">
        <v>22</v>
      </c>
      <c r="F273" s="1" t="n">
        <v>1700</v>
      </c>
      <c r="G273" s="3" t="n">
        <v>1700</v>
      </c>
      <c r="H273" s="3"/>
      <c r="I273" s="1" t="s">
        <v>15</v>
      </c>
      <c r="L273" s="1" t="str">
        <f aca="false">IFERROR(G273/J273,"")</f>
        <v/>
      </c>
    </row>
    <row r="274" customFormat="false" ht="13.8" hidden="false" customHeight="false" outlineLevel="0" collapsed="false">
      <c r="A274" s="1" t="s">
        <v>12</v>
      </c>
      <c r="B274" s="1" t="s">
        <v>107</v>
      </c>
      <c r="C274" s="2" t="n">
        <v>45677</v>
      </c>
      <c r="D274" s="2" t="n">
        <v>45682</v>
      </c>
      <c r="E274" s="1" t="s">
        <v>109</v>
      </c>
      <c r="F274" s="1" t="n">
        <v>3944</v>
      </c>
      <c r="G274" s="3" t="n">
        <v>3944</v>
      </c>
      <c r="H274" s="3"/>
      <c r="I274" s="1" t="s">
        <v>19</v>
      </c>
      <c r="L274" s="1" t="str">
        <f aca="false">IFERROR(G274/J274,"")</f>
        <v/>
      </c>
    </row>
    <row r="275" customFormat="false" ht="13.8" hidden="false" customHeight="false" outlineLevel="0" collapsed="false">
      <c r="A275" s="1" t="s">
        <v>17</v>
      </c>
      <c r="B275" s="1" t="s">
        <v>97</v>
      </c>
      <c r="C275" s="2" t="n">
        <v>45651</v>
      </c>
      <c r="D275" s="2" t="n">
        <v>45682</v>
      </c>
      <c r="E275" s="1" t="s">
        <v>90</v>
      </c>
      <c r="F275" s="1" t="n">
        <v>4100</v>
      </c>
      <c r="G275" s="3" t="n">
        <v>4100</v>
      </c>
      <c r="H275" s="3"/>
      <c r="I275" s="1" t="s">
        <v>15</v>
      </c>
      <c r="L275" s="1" t="str">
        <f aca="false">IFERROR(G275/J275,"")</f>
        <v/>
      </c>
    </row>
    <row r="276" customFormat="false" ht="13.8" hidden="false" customHeight="false" outlineLevel="0" collapsed="false">
      <c r="A276" s="1" t="s">
        <v>12</v>
      </c>
      <c r="B276" s="1" t="s">
        <v>107</v>
      </c>
      <c r="C276" s="2" t="n">
        <v>45670</v>
      </c>
      <c r="D276" s="2" t="n">
        <v>45684</v>
      </c>
      <c r="E276" s="1" t="s">
        <v>35</v>
      </c>
      <c r="F276" s="1" t="n">
        <v>1112.4</v>
      </c>
      <c r="G276" s="3" t="n">
        <v>1112.4</v>
      </c>
      <c r="H276" s="3"/>
      <c r="I276" s="1" t="s">
        <v>15</v>
      </c>
      <c r="L276" s="1" t="str">
        <f aca="false">IFERROR(G276/J276,"")</f>
        <v/>
      </c>
    </row>
    <row r="277" customFormat="false" ht="13.8" hidden="false" customHeight="false" outlineLevel="0" collapsed="false">
      <c r="A277" s="1" t="s">
        <v>12</v>
      </c>
      <c r="B277" s="1" t="s">
        <v>107</v>
      </c>
      <c r="C277" s="2" t="n">
        <v>45670</v>
      </c>
      <c r="D277" s="2" t="n">
        <v>45684</v>
      </c>
      <c r="E277" s="1" t="s">
        <v>35</v>
      </c>
      <c r="F277" s="1" t="n">
        <v>2224.8</v>
      </c>
      <c r="G277" s="3" t="n">
        <v>2224.8</v>
      </c>
      <c r="H277" s="3"/>
      <c r="I277" s="1" t="s">
        <v>15</v>
      </c>
      <c r="L277" s="1" t="str">
        <f aca="false">IFERROR(G277/J277,"")</f>
        <v/>
      </c>
    </row>
    <row r="278" customFormat="false" ht="13.8" hidden="false" customHeight="false" outlineLevel="0" collapsed="false">
      <c r="A278" s="1" t="s">
        <v>12</v>
      </c>
      <c r="B278" s="1" t="s">
        <v>107</v>
      </c>
      <c r="C278" s="2" t="n">
        <v>45670</v>
      </c>
      <c r="D278" s="2" t="n">
        <v>45684</v>
      </c>
      <c r="E278" s="1" t="s">
        <v>35</v>
      </c>
      <c r="F278" s="1" t="n">
        <v>370.8</v>
      </c>
      <c r="G278" s="1" t="n">
        <v>370.8</v>
      </c>
      <c r="I278" s="1" t="s">
        <v>15</v>
      </c>
      <c r="L278" s="1" t="str">
        <f aca="false">IFERROR(G278/J278,"")</f>
        <v/>
      </c>
    </row>
    <row r="279" customFormat="false" ht="13.8" hidden="false" customHeight="false" outlineLevel="0" collapsed="false">
      <c r="A279" s="1" t="s">
        <v>17</v>
      </c>
      <c r="B279" s="1" t="s">
        <v>107</v>
      </c>
      <c r="C279" s="2" t="n">
        <v>45680</v>
      </c>
      <c r="D279" s="2" t="n">
        <v>45686</v>
      </c>
      <c r="E279" s="1" t="s">
        <v>31</v>
      </c>
      <c r="F279" s="1" t="n">
        <v>5771.12</v>
      </c>
      <c r="G279" s="3" t="n">
        <v>5771.12</v>
      </c>
      <c r="H279" s="3"/>
      <c r="I279" s="1" t="s">
        <v>19</v>
      </c>
      <c r="L279" s="1" t="str">
        <f aca="false">IFERROR(G279/J279,"")</f>
        <v/>
      </c>
    </row>
    <row r="280" customFormat="false" ht="13.8" hidden="false" customHeight="false" outlineLevel="0" collapsed="false">
      <c r="A280" s="1" t="s">
        <v>12</v>
      </c>
      <c r="B280" s="1" t="s">
        <v>107</v>
      </c>
      <c r="C280" s="2" t="n">
        <v>45680</v>
      </c>
      <c r="D280" s="2" t="n">
        <v>45686</v>
      </c>
      <c r="E280" s="1" t="s">
        <v>31</v>
      </c>
      <c r="F280" s="1" t="n">
        <v>4168.45</v>
      </c>
      <c r="G280" s="3" t="n">
        <v>4168.45</v>
      </c>
      <c r="H280" s="3"/>
      <c r="I280" s="1" t="s">
        <v>19</v>
      </c>
      <c r="L280" s="1" t="str">
        <f aca="false">IFERROR(G280/J280,"")</f>
        <v/>
      </c>
    </row>
    <row r="281" customFormat="false" ht="13.8" hidden="false" customHeight="false" outlineLevel="0" collapsed="false">
      <c r="A281" s="1" t="s">
        <v>50</v>
      </c>
      <c r="B281" s="1" t="s">
        <v>107</v>
      </c>
      <c r="C281" s="2" t="n">
        <v>45658</v>
      </c>
      <c r="D281" s="2" t="n">
        <v>45688</v>
      </c>
      <c r="E281" s="1" t="s">
        <v>110</v>
      </c>
      <c r="F281" s="1" t="n">
        <v>11842.8</v>
      </c>
      <c r="G281" s="3" t="n">
        <v>11842.8</v>
      </c>
      <c r="H281" s="3"/>
      <c r="I281" s="1" t="s">
        <v>19</v>
      </c>
      <c r="L281" s="1" t="str">
        <f aca="false">IFERROR(G281/J281,"")</f>
        <v/>
      </c>
    </row>
    <row r="282" customFormat="false" ht="13.8" hidden="false" customHeight="false" outlineLevel="0" collapsed="false">
      <c r="A282" s="1" t="s">
        <v>12</v>
      </c>
      <c r="B282" s="1" t="s">
        <v>107</v>
      </c>
      <c r="C282" s="2" t="n">
        <v>45658</v>
      </c>
      <c r="D282" s="2" t="n">
        <v>45688</v>
      </c>
      <c r="E282" s="1" t="s">
        <v>110</v>
      </c>
      <c r="F282" s="1" t="n">
        <v>6006.6</v>
      </c>
      <c r="G282" s="3" t="n">
        <v>6006.6</v>
      </c>
      <c r="H282" s="3"/>
      <c r="I282" s="1" t="s">
        <v>19</v>
      </c>
      <c r="L282" s="1" t="str">
        <f aca="false">IFERROR(G282/J282,"")</f>
        <v/>
      </c>
    </row>
    <row r="283" customFormat="false" ht="13.8" hidden="false" customHeight="false" outlineLevel="0" collapsed="false">
      <c r="A283" s="1" t="s">
        <v>12</v>
      </c>
      <c r="B283" s="1" t="s">
        <v>107</v>
      </c>
      <c r="C283" s="2" t="n">
        <v>45663</v>
      </c>
      <c r="D283" s="2" t="n">
        <v>45688</v>
      </c>
      <c r="E283" s="1" t="s">
        <v>72</v>
      </c>
      <c r="F283" s="1" t="n">
        <v>4290</v>
      </c>
      <c r="G283" s="3" t="n">
        <v>4290</v>
      </c>
      <c r="H283" s="3"/>
      <c r="I283" s="1" t="s">
        <v>15</v>
      </c>
      <c r="L283" s="1" t="str">
        <f aca="false">IFERROR(G283/J283,"")</f>
        <v/>
      </c>
    </row>
    <row r="284" customFormat="false" ht="13.8" hidden="false" customHeight="false" outlineLevel="0" collapsed="false">
      <c r="A284" s="1" t="s">
        <v>12</v>
      </c>
      <c r="B284" s="1" t="s">
        <v>107</v>
      </c>
      <c r="C284" s="2" t="n">
        <v>45663</v>
      </c>
      <c r="D284" s="2" t="n">
        <v>45688</v>
      </c>
      <c r="E284" s="1" t="s">
        <v>72</v>
      </c>
      <c r="F284" s="1" t="n">
        <v>630</v>
      </c>
      <c r="G284" s="1" t="n">
        <v>630</v>
      </c>
      <c r="I284" s="1" t="s">
        <v>15</v>
      </c>
      <c r="L284" s="1" t="str">
        <f aca="false">IFERROR(G284/J284,"")</f>
        <v/>
      </c>
    </row>
    <row r="285" customFormat="false" ht="13.8" hidden="false" customHeight="false" outlineLevel="0" collapsed="false">
      <c r="A285" s="1" t="s">
        <v>12</v>
      </c>
      <c r="B285" s="1" t="s">
        <v>107</v>
      </c>
      <c r="C285" s="2" t="n">
        <v>45663</v>
      </c>
      <c r="D285" s="2" t="n">
        <v>45688</v>
      </c>
      <c r="E285" s="1" t="s">
        <v>21</v>
      </c>
      <c r="F285" s="1" t="n">
        <v>9698.15</v>
      </c>
      <c r="G285" s="3" t="n">
        <v>9698.15</v>
      </c>
      <c r="H285" s="3"/>
      <c r="I285" s="1" t="s">
        <v>15</v>
      </c>
      <c r="L285" s="1" t="str">
        <f aca="false">IFERROR(G285/J285,"")</f>
        <v/>
      </c>
    </row>
    <row r="286" customFormat="false" ht="13.8" hidden="false" customHeight="false" outlineLevel="0" collapsed="false">
      <c r="A286" s="1" t="s">
        <v>12</v>
      </c>
      <c r="B286" s="1" t="s">
        <v>107</v>
      </c>
      <c r="C286" s="2" t="n">
        <v>45667</v>
      </c>
      <c r="D286" s="2" t="n">
        <v>45688</v>
      </c>
      <c r="E286" s="1" t="s">
        <v>24</v>
      </c>
      <c r="F286" s="1" t="n">
        <v>1500</v>
      </c>
      <c r="G286" s="3" t="n">
        <v>1500</v>
      </c>
      <c r="H286" s="3"/>
      <c r="I286" s="1" t="s">
        <v>15</v>
      </c>
      <c r="L286" s="1" t="str">
        <f aca="false">IFERROR(G286/J286,"")</f>
        <v/>
      </c>
    </row>
    <row r="287" customFormat="false" ht="13.8" hidden="false" customHeight="false" outlineLevel="0" collapsed="false">
      <c r="A287" s="1" t="s">
        <v>12</v>
      </c>
      <c r="B287" s="1" t="s">
        <v>107</v>
      </c>
      <c r="C287" s="2" t="n">
        <v>45667</v>
      </c>
      <c r="D287" s="2" t="n">
        <v>45688</v>
      </c>
      <c r="E287" s="1" t="s">
        <v>24</v>
      </c>
      <c r="F287" s="1" t="n">
        <v>1500</v>
      </c>
      <c r="G287" s="3" t="n">
        <v>1500</v>
      </c>
      <c r="H287" s="3"/>
      <c r="I287" s="1" t="s">
        <v>15</v>
      </c>
      <c r="L287" s="1" t="str">
        <f aca="false">IFERROR(G287/J287,"")</f>
        <v/>
      </c>
    </row>
    <row r="288" customFormat="false" ht="13.8" hidden="false" customHeight="false" outlineLevel="0" collapsed="false">
      <c r="A288" s="1" t="s">
        <v>12</v>
      </c>
      <c r="B288" s="1" t="s">
        <v>107</v>
      </c>
      <c r="C288" s="2" t="n">
        <v>45674</v>
      </c>
      <c r="D288" s="2" t="n">
        <v>45688</v>
      </c>
      <c r="E288" s="1" t="s">
        <v>111</v>
      </c>
      <c r="F288" s="1" t="n">
        <v>5000</v>
      </c>
      <c r="G288" s="3" t="n">
        <v>5000</v>
      </c>
      <c r="H288" s="3"/>
      <c r="I288" s="1" t="s">
        <v>19</v>
      </c>
      <c r="L288" s="1" t="str">
        <f aca="false">IFERROR(G288/J288,"")</f>
        <v/>
      </c>
    </row>
    <row r="289" customFormat="false" ht="13.8" hidden="false" customHeight="false" outlineLevel="0" collapsed="false">
      <c r="A289" s="1" t="s">
        <v>17</v>
      </c>
      <c r="B289" s="1" t="s">
        <v>107</v>
      </c>
      <c r="C289" s="2" t="n">
        <v>45678</v>
      </c>
      <c r="D289" s="2" t="n">
        <v>45688</v>
      </c>
      <c r="E289" s="1" t="s">
        <v>47</v>
      </c>
      <c r="F289" s="1" t="n">
        <v>2450</v>
      </c>
      <c r="G289" s="3" t="n">
        <v>2450</v>
      </c>
      <c r="H289" s="3"/>
      <c r="I289" s="1" t="s">
        <v>15</v>
      </c>
      <c r="L289" s="1" t="str">
        <f aca="false">IFERROR(G289/J289,"")</f>
        <v/>
      </c>
    </row>
    <row r="290" customFormat="false" ht="13.8" hidden="false" customHeight="false" outlineLevel="0" collapsed="false">
      <c r="A290" s="1" t="s">
        <v>17</v>
      </c>
      <c r="B290" s="1" t="s">
        <v>107</v>
      </c>
      <c r="C290" s="2" t="n">
        <v>45684</v>
      </c>
      <c r="D290" s="2" t="n">
        <v>45688</v>
      </c>
      <c r="E290" s="1" t="s">
        <v>112</v>
      </c>
      <c r="F290" s="1" t="n">
        <v>957.6</v>
      </c>
      <c r="G290" s="1" t="n">
        <v>957.6</v>
      </c>
      <c r="I290" s="1" t="s">
        <v>15</v>
      </c>
      <c r="L290" s="1" t="str">
        <f aca="false">IFERROR(G290/J290,"")</f>
        <v/>
      </c>
    </row>
    <row r="291" customFormat="false" ht="13.8" hidden="false" customHeight="false" outlineLevel="0" collapsed="false">
      <c r="A291" s="1" t="s">
        <v>38</v>
      </c>
      <c r="B291" s="1" t="s">
        <v>107</v>
      </c>
      <c r="C291" s="2" t="n">
        <v>45684</v>
      </c>
      <c r="D291" s="2" t="n">
        <v>45688</v>
      </c>
      <c r="E291" s="1" t="s">
        <v>96</v>
      </c>
      <c r="F291" s="1" t="n">
        <v>2121.12</v>
      </c>
      <c r="G291" s="3" t="n">
        <v>2121.12</v>
      </c>
      <c r="H291" s="3"/>
      <c r="I291" s="1" t="s">
        <v>15</v>
      </c>
      <c r="L291" s="1" t="str">
        <f aca="false">IFERROR(G291/J291,"")</f>
        <v/>
      </c>
    </row>
    <row r="292" customFormat="false" ht="13.8" hidden="false" customHeight="false" outlineLevel="0" collapsed="false">
      <c r="A292" s="1" t="s">
        <v>12</v>
      </c>
      <c r="B292" s="1" t="s">
        <v>97</v>
      </c>
      <c r="C292" s="2" t="n">
        <v>45635</v>
      </c>
      <c r="D292" s="2" t="n">
        <v>45688</v>
      </c>
      <c r="E292" s="1" t="s">
        <v>113</v>
      </c>
      <c r="F292" s="1" t="n">
        <v>3582</v>
      </c>
      <c r="G292" s="3" t="n">
        <v>3582</v>
      </c>
      <c r="H292" s="3"/>
      <c r="I292" s="1" t="s">
        <v>19</v>
      </c>
      <c r="L292" s="1" t="str">
        <f aca="false">IFERROR(G292/J292,"")</f>
        <v/>
      </c>
    </row>
    <row r="293" customFormat="false" ht="13.8" hidden="false" customHeight="false" outlineLevel="0" collapsed="false">
      <c r="A293" s="1" t="s">
        <v>12</v>
      </c>
      <c r="B293" s="1" t="s">
        <v>97</v>
      </c>
      <c r="C293" s="2" t="n">
        <v>45635</v>
      </c>
      <c r="D293" s="2" t="n">
        <v>45688</v>
      </c>
      <c r="E293" s="1" t="s">
        <v>113</v>
      </c>
      <c r="F293" s="1" t="n">
        <v>1791</v>
      </c>
      <c r="G293" s="3" t="n">
        <v>1791</v>
      </c>
      <c r="H293" s="3"/>
      <c r="I293" s="1" t="s">
        <v>19</v>
      </c>
      <c r="L293" s="1" t="str">
        <f aca="false">IFERROR(G293/J293,"")</f>
        <v/>
      </c>
    </row>
    <row r="294" customFormat="false" ht="13.8" hidden="false" customHeight="false" outlineLevel="0" collapsed="false">
      <c r="A294" s="1" t="s">
        <v>12</v>
      </c>
      <c r="B294" s="1" t="s">
        <v>97</v>
      </c>
      <c r="C294" s="2" t="n">
        <v>45635</v>
      </c>
      <c r="D294" s="2" t="n">
        <v>45688</v>
      </c>
      <c r="E294" s="1" t="s">
        <v>113</v>
      </c>
      <c r="F294" s="1" t="n">
        <v>3582</v>
      </c>
      <c r="G294" s="3" t="n">
        <v>3582</v>
      </c>
      <c r="H294" s="3"/>
      <c r="I294" s="1" t="s">
        <v>19</v>
      </c>
      <c r="L294" s="1" t="str">
        <f aca="false">IFERROR(G294/J294,"")</f>
        <v/>
      </c>
    </row>
    <row r="295" customFormat="false" ht="13.8" hidden="false" customHeight="false" outlineLevel="0" collapsed="false">
      <c r="A295" s="1" t="s">
        <v>12</v>
      </c>
      <c r="B295" s="1" t="s">
        <v>97</v>
      </c>
      <c r="C295" s="2" t="n">
        <v>45635</v>
      </c>
      <c r="D295" s="2" t="n">
        <v>45688</v>
      </c>
      <c r="E295" s="1" t="s">
        <v>113</v>
      </c>
      <c r="F295" s="1" t="n">
        <v>8955</v>
      </c>
      <c r="G295" s="3" t="n">
        <v>8955</v>
      </c>
      <c r="H295" s="3"/>
      <c r="I295" s="1" t="s">
        <v>19</v>
      </c>
      <c r="L295" s="1" t="str">
        <f aca="false">IFERROR(G295/J295,"")</f>
        <v/>
      </c>
    </row>
    <row r="296" customFormat="false" ht="13.8" hidden="false" customHeight="false" outlineLevel="0" collapsed="false">
      <c r="A296" s="1" t="s">
        <v>17</v>
      </c>
      <c r="B296" s="1" t="s">
        <v>97</v>
      </c>
      <c r="C296" s="2" t="n">
        <v>45636</v>
      </c>
      <c r="D296" s="2" t="n">
        <v>45688</v>
      </c>
      <c r="E296" s="1" t="s">
        <v>114</v>
      </c>
      <c r="F296" s="1" t="n">
        <v>2055.44</v>
      </c>
      <c r="G296" s="3" t="n">
        <v>2055.44</v>
      </c>
      <c r="H296" s="3"/>
      <c r="I296" s="1" t="s">
        <v>15</v>
      </c>
      <c r="L296" s="1" t="str">
        <f aca="false">IFERROR(G296/J296,"")</f>
        <v/>
      </c>
    </row>
    <row r="297" customFormat="false" ht="13.8" hidden="false" customHeight="false" outlineLevel="0" collapsed="false">
      <c r="A297" s="1" t="s">
        <v>17</v>
      </c>
      <c r="B297" s="1" t="s">
        <v>97</v>
      </c>
      <c r="C297" s="2" t="n">
        <v>45636</v>
      </c>
      <c r="D297" s="2" t="n">
        <v>45688</v>
      </c>
      <c r="E297" s="1" t="s">
        <v>114</v>
      </c>
      <c r="F297" s="1" t="n">
        <v>2054.08</v>
      </c>
      <c r="G297" s="3" t="n">
        <v>2054.08</v>
      </c>
      <c r="H297" s="3"/>
      <c r="I297" s="1" t="s">
        <v>15</v>
      </c>
      <c r="L297" s="1" t="str">
        <f aca="false">IFERROR(G297/J297,"")</f>
        <v/>
      </c>
    </row>
    <row r="298" customFormat="false" ht="13.8" hidden="false" customHeight="false" outlineLevel="0" collapsed="false">
      <c r="A298" s="1" t="s">
        <v>17</v>
      </c>
      <c r="B298" s="1" t="s">
        <v>107</v>
      </c>
      <c r="C298" s="2" t="n">
        <v>45687</v>
      </c>
      <c r="D298" s="2" t="n">
        <v>45690</v>
      </c>
      <c r="E298" s="1" t="s">
        <v>31</v>
      </c>
      <c r="F298" s="1" t="n">
        <v>2273.44</v>
      </c>
      <c r="G298" s="3" t="n">
        <v>2273.44</v>
      </c>
      <c r="H298" s="3"/>
      <c r="I298" s="1" t="s">
        <v>19</v>
      </c>
      <c r="L298" s="1" t="str">
        <f aca="false">IFERROR(G298/J298,"")</f>
        <v/>
      </c>
    </row>
    <row r="299" customFormat="false" ht="13.8" hidden="false" customHeight="false" outlineLevel="0" collapsed="false">
      <c r="A299" s="1" t="s">
        <v>12</v>
      </c>
      <c r="B299" s="1" t="s">
        <v>107</v>
      </c>
      <c r="C299" s="2" t="n">
        <v>45687</v>
      </c>
      <c r="D299" s="2" t="n">
        <v>45690</v>
      </c>
      <c r="E299" s="1" t="s">
        <v>31</v>
      </c>
      <c r="F299" s="1" t="n">
        <v>1818.96</v>
      </c>
      <c r="G299" s="3" t="n">
        <v>1818.96</v>
      </c>
      <c r="H299" s="3"/>
      <c r="I299" s="1" t="s">
        <v>19</v>
      </c>
      <c r="L299" s="1" t="str">
        <f aca="false">IFERROR(G299/J299,"")</f>
        <v/>
      </c>
    </row>
    <row r="300" customFormat="false" ht="13.8" hidden="false" customHeight="false" outlineLevel="0" collapsed="false">
      <c r="A300" s="1" t="s">
        <v>17</v>
      </c>
      <c r="B300" s="1" t="s">
        <v>115</v>
      </c>
      <c r="C300" s="2" t="n">
        <v>45695</v>
      </c>
      <c r="D300" s="2" t="n">
        <v>45701</v>
      </c>
      <c r="E300" s="1" t="s">
        <v>33</v>
      </c>
      <c r="F300" s="1" t="n">
        <v>3281.53</v>
      </c>
      <c r="G300" s="3" t="n">
        <v>3281.53</v>
      </c>
      <c r="H300" s="3"/>
      <c r="I300" s="1" t="s">
        <v>15</v>
      </c>
      <c r="L300" s="1" t="str">
        <f aca="false">IFERROR(G300/J300,"")</f>
        <v/>
      </c>
    </row>
    <row r="301" customFormat="false" ht="13.8" hidden="false" customHeight="false" outlineLevel="0" collapsed="false">
      <c r="A301" s="1" t="s">
        <v>17</v>
      </c>
      <c r="B301" s="1" t="s">
        <v>107</v>
      </c>
      <c r="C301" s="2" t="n">
        <v>45677</v>
      </c>
      <c r="D301" s="2" t="n">
        <v>45706</v>
      </c>
      <c r="E301" s="1" t="s">
        <v>27</v>
      </c>
      <c r="F301" s="1" t="n">
        <v>3960</v>
      </c>
      <c r="G301" s="3" t="n">
        <v>3960</v>
      </c>
      <c r="H301" s="3"/>
      <c r="I301" s="1" t="s">
        <v>15</v>
      </c>
      <c r="L301" s="1" t="str">
        <f aca="false">IFERROR(G301/J301,"")</f>
        <v/>
      </c>
    </row>
    <row r="302" customFormat="false" ht="13.8" hidden="false" customHeight="false" outlineLevel="0" collapsed="false">
      <c r="A302" s="1" t="s">
        <v>50</v>
      </c>
      <c r="B302" s="1" t="s">
        <v>115</v>
      </c>
      <c r="C302" s="2" t="n">
        <v>45701</v>
      </c>
      <c r="D302" s="2" t="n">
        <v>45706</v>
      </c>
      <c r="E302" s="1" t="s">
        <v>91</v>
      </c>
      <c r="F302" s="1" t="n">
        <v>16470.73</v>
      </c>
      <c r="G302" s="3" t="n">
        <v>16470.73</v>
      </c>
      <c r="H302" s="3"/>
      <c r="I302" s="1" t="s">
        <v>19</v>
      </c>
      <c r="L302" s="1" t="str">
        <f aca="false">IFERROR(G302/J302,"")</f>
        <v/>
      </c>
    </row>
    <row r="303" customFormat="false" ht="13.8" hidden="false" customHeight="false" outlineLevel="0" collapsed="false">
      <c r="A303" s="1" t="s">
        <v>12</v>
      </c>
      <c r="B303" s="1" t="s">
        <v>107</v>
      </c>
      <c r="C303" s="2" t="n">
        <v>45677</v>
      </c>
      <c r="D303" s="2" t="n">
        <v>45707</v>
      </c>
      <c r="E303" s="1" t="s">
        <v>108</v>
      </c>
      <c r="F303" s="1" t="n">
        <v>5500</v>
      </c>
      <c r="G303" s="3" t="n">
        <v>5500</v>
      </c>
      <c r="H303" s="3"/>
      <c r="I303" s="1" t="s">
        <v>15</v>
      </c>
      <c r="L303" s="1" t="str">
        <f aca="false">IFERROR(G303/J303,"")</f>
        <v/>
      </c>
    </row>
    <row r="304" customFormat="false" ht="13.8" hidden="false" customHeight="false" outlineLevel="0" collapsed="false">
      <c r="A304" s="1" t="s">
        <v>38</v>
      </c>
      <c r="B304" s="1" t="s">
        <v>115</v>
      </c>
      <c r="C304" s="2" t="n">
        <v>45691</v>
      </c>
      <c r="D304" s="2" t="n">
        <v>45709</v>
      </c>
      <c r="E304" s="1" t="s">
        <v>96</v>
      </c>
      <c r="F304" s="1" t="n">
        <v>6363.36</v>
      </c>
      <c r="G304" s="3" t="n">
        <v>6363.36</v>
      </c>
      <c r="H304" s="3"/>
      <c r="I304" s="1" t="s">
        <v>15</v>
      </c>
      <c r="L304" s="1" t="str">
        <f aca="false">IFERROR(G304/J304,"")</f>
        <v/>
      </c>
    </row>
    <row r="305" customFormat="false" ht="13.8" hidden="false" customHeight="false" outlineLevel="0" collapsed="false">
      <c r="A305" s="1" t="s">
        <v>50</v>
      </c>
      <c r="B305" s="1" t="s">
        <v>115</v>
      </c>
      <c r="C305" s="2" t="n">
        <v>45703</v>
      </c>
      <c r="D305" s="2" t="n">
        <v>45709</v>
      </c>
      <c r="E305" s="1" t="s">
        <v>91</v>
      </c>
      <c r="F305" s="1" t="n">
        <v>10688.55</v>
      </c>
      <c r="G305" s="3" t="n">
        <v>10688.55</v>
      </c>
      <c r="H305" s="3"/>
      <c r="I305" s="1" t="s">
        <v>19</v>
      </c>
      <c r="L305" s="1" t="str">
        <f aca="false">IFERROR(G305/J305,"")</f>
        <v/>
      </c>
    </row>
    <row r="306" customFormat="false" ht="13.8" hidden="false" customHeight="false" outlineLevel="0" collapsed="false">
      <c r="A306" s="1" t="s">
        <v>12</v>
      </c>
      <c r="B306" s="1" t="s">
        <v>115</v>
      </c>
      <c r="C306" s="2" t="n">
        <v>45703</v>
      </c>
      <c r="D306" s="2" t="n">
        <v>45709</v>
      </c>
      <c r="E306" s="1" t="s">
        <v>116</v>
      </c>
      <c r="F306" s="1" t="n">
        <v>5000</v>
      </c>
      <c r="G306" s="3" t="n">
        <v>5000</v>
      </c>
      <c r="H306" s="3"/>
      <c r="I306" s="1" t="s">
        <v>15</v>
      </c>
      <c r="L306" s="1" t="str">
        <f aca="false">IFERROR(G306/J306,"")</f>
        <v/>
      </c>
    </row>
    <row r="307" customFormat="false" ht="13.8" hidden="false" customHeight="false" outlineLevel="0" collapsed="false">
      <c r="A307" s="1" t="s">
        <v>12</v>
      </c>
      <c r="B307" s="1" t="s">
        <v>115</v>
      </c>
      <c r="C307" s="2" t="n">
        <v>45713</v>
      </c>
      <c r="D307" s="2" t="n">
        <v>45713</v>
      </c>
      <c r="E307" s="1" t="s">
        <v>72</v>
      </c>
      <c r="F307" s="1" t="n">
        <v>1800</v>
      </c>
      <c r="G307" s="3" t="n">
        <v>1800</v>
      </c>
      <c r="H307" s="3"/>
      <c r="I307" s="1" t="s">
        <v>15</v>
      </c>
      <c r="L307" s="1" t="str">
        <f aca="false">IFERROR(G307/J307,"")</f>
        <v/>
      </c>
    </row>
    <row r="308" customFormat="false" ht="13.8" hidden="false" customHeight="false" outlineLevel="0" collapsed="false">
      <c r="A308" s="1" t="s">
        <v>12</v>
      </c>
      <c r="B308" s="1" t="s">
        <v>115</v>
      </c>
      <c r="C308" s="2" t="n">
        <v>45698</v>
      </c>
      <c r="D308" s="2" t="n">
        <v>45714</v>
      </c>
      <c r="E308" s="1" t="s">
        <v>35</v>
      </c>
      <c r="F308" s="1" t="n">
        <v>2224.8</v>
      </c>
      <c r="G308" s="3" t="n">
        <v>2224.8</v>
      </c>
      <c r="H308" s="3"/>
      <c r="I308" s="1" t="s">
        <v>15</v>
      </c>
      <c r="L308" s="1" t="str">
        <f aca="false">IFERROR(G308/J308,"")</f>
        <v/>
      </c>
    </row>
    <row r="309" customFormat="false" ht="13.8" hidden="false" customHeight="false" outlineLevel="0" collapsed="false">
      <c r="A309" s="1" t="s">
        <v>12</v>
      </c>
      <c r="B309" s="1" t="s">
        <v>115</v>
      </c>
      <c r="C309" s="2" t="n">
        <v>45698</v>
      </c>
      <c r="D309" s="2" t="n">
        <v>45714</v>
      </c>
      <c r="E309" s="1" t="s">
        <v>35</v>
      </c>
      <c r="F309" s="1" t="n">
        <v>370.8</v>
      </c>
      <c r="G309" s="1" t="n">
        <v>370.8</v>
      </c>
      <c r="I309" s="1" t="s">
        <v>15</v>
      </c>
      <c r="L309" s="1" t="str">
        <f aca="false">IFERROR(G309/J309,"")</f>
        <v/>
      </c>
    </row>
    <row r="310" customFormat="false" ht="13.8" hidden="false" customHeight="false" outlineLevel="0" collapsed="false">
      <c r="A310" s="1" t="s">
        <v>12</v>
      </c>
      <c r="B310" s="1" t="s">
        <v>115</v>
      </c>
      <c r="C310" s="2" t="n">
        <v>45698</v>
      </c>
      <c r="D310" s="2" t="n">
        <v>45714</v>
      </c>
      <c r="E310" s="1" t="s">
        <v>35</v>
      </c>
      <c r="F310" s="1" t="n">
        <v>1112.4</v>
      </c>
      <c r="G310" s="3" t="n">
        <v>1112.4</v>
      </c>
      <c r="H310" s="3"/>
      <c r="I310" s="1" t="s">
        <v>15</v>
      </c>
      <c r="L310" s="1" t="str">
        <f aca="false">IFERROR(G310/J310,"")</f>
        <v/>
      </c>
    </row>
    <row r="311" customFormat="false" ht="13.8" hidden="false" customHeight="false" outlineLevel="0" collapsed="false">
      <c r="A311" s="1" t="s">
        <v>17</v>
      </c>
      <c r="B311" s="1" t="s">
        <v>115</v>
      </c>
      <c r="C311" s="2" t="n">
        <v>45691</v>
      </c>
      <c r="D311" s="2" t="n">
        <v>45715</v>
      </c>
      <c r="E311" s="1" t="s">
        <v>112</v>
      </c>
      <c r="F311" s="1" t="n">
        <v>2298.24</v>
      </c>
      <c r="G311" s="3" t="n">
        <v>2298.24</v>
      </c>
      <c r="H311" s="3"/>
      <c r="I311" s="1" t="s">
        <v>15</v>
      </c>
      <c r="L311" s="1" t="str">
        <f aca="false">IFERROR(G311/J311,"")</f>
        <v/>
      </c>
    </row>
    <row r="312" customFormat="false" ht="13.8" hidden="false" customHeight="false" outlineLevel="0" collapsed="false">
      <c r="A312" s="1" t="s">
        <v>12</v>
      </c>
      <c r="B312" s="1" t="s">
        <v>115</v>
      </c>
      <c r="C312" s="2" t="n">
        <v>45693</v>
      </c>
      <c r="D312" s="2" t="n">
        <v>45715</v>
      </c>
      <c r="E312" s="1" t="s">
        <v>117</v>
      </c>
      <c r="F312" s="1" t="n">
        <v>2512.8</v>
      </c>
      <c r="G312" s="3" t="n">
        <v>2512.8</v>
      </c>
      <c r="H312" s="3"/>
      <c r="I312" s="1" t="s">
        <v>19</v>
      </c>
      <c r="L312" s="1" t="str">
        <f aca="false">IFERROR(G312/J312,"")</f>
        <v/>
      </c>
    </row>
    <row r="313" customFormat="false" ht="13.8" hidden="false" customHeight="false" outlineLevel="0" collapsed="false">
      <c r="A313" s="1" t="s">
        <v>50</v>
      </c>
      <c r="B313" s="1" t="s">
        <v>115</v>
      </c>
      <c r="C313" s="2" t="n">
        <v>45689</v>
      </c>
      <c r="D313" s="2" t="n">
        <v>45716</v>
      </c>
      <c r="E313" s="1" t="s">
        <v>110</v>
      </c>
      <c r="F313" s="1" t="n">
        <v>11842.8</v>
      </c>
      <c r="G313" s="3" t="n">
        <v>11842.8</v>
      </c>
      <c r="H313" s="3"/>
      <c r="I313" s="1" t="s">
        <v>19</v>
      </c>
      <c r="L313" s="1" t="str">
        <f aca="false">IFERROR(G313/J313,"")</f>
        <v/>
      </c>
    </row>
    <row r="314" customFormat="false" ht="13.8" hidden="false" customHeight="false" outlineLevel="0" collapsed="false">
      <c r="A314" s="1" t="s">
        <v>17</v>
      </c>
      <c r="B314" s="1" t="s">
        <v>115</v>
      </c>
      <c r="C314" s="2" t="n">
        <v>45689</v>
      </c>
      <c r="D314" s="2" t="n">
        <v>45716</v>
      </c>
      <c r="E314" s="1" t="s">
        <v>47</v>
      </c>
      <c r="F314" s="1" t="n">
        <v>5880</v>
      </c>
      <c r="G314" s="3" t="n">
        <v>5880</v>
      </c>
      <c r="H314" s="3"/>
      <c r="I314" s="1" t="s">
        <v>15</v>
      </c>
      <c r="L314" s="1" t="str">
        <f aca="false">IFERROR(G314/J314,"")</f>
        <v/>
      </c>
    </row>
    <row r="315" customFormat="false" ht="13.8" hidden="false" customHeight="false" outlineLevel="0" collapsed="false">
      <c r="A315" s="1" t="s">
        <v>17</v>
      </c>
      <c r="B315" s="1" t="s">
        <v>115</v>
      </c>
      <c r="C315" s="2" t="n">
        <v>45689</v>
      </c>
      <c r="D315" s="2" t="n">
        <v>45716</v>
      </c>
      <c r="E315" s="1" t="s">
        <v>118</v>
      </c>
      <c r="F315" s="1" t="n">
        <v>3292.85</v>
      </c>
      <c r="G315" s="3" t="n">
        <v>3292.85</v>
      </c>
      <c r="H315" s="3"/>
      <c r="I315" s="1" t="s">
        <v>19</v>
      </c>
      <c r="L315" s="1" t="str">
        <f aca="false">IFERROR(G315/J315,"")</f>
        <v/>
      </c>
    </row>
    <row r="316" customFormat="false" ht="13.8" hidden="false" customHeight="false" outlineLevel="0" collapsed="false">
      <c r="A316" s="1" t="s">
        <v>12</v>
      </c>
      <c r="B316" s="1" t="s">
        <v>115</v>
      </c>
      <c r="C316" s="2" t="n">
        <v>45689</v>
      </c>
      <c r="D316" s="2" t="n">
        <v>45716</v>
      </c>
      <c r="E316" s="1" t="s">
        <v>110</v>
      </c>
      <c r="F316" s="1" t="n">
        <v>6006.6</v>
      </c>
      <c r="G316" s="3" t="n">
        <v>6006.6</v>
      </c>
      <c r="H316" s="3"/>
      <c r="I316" s="1" t="s">
        <v>19</v>
      </c>
      <c r="L316" s="1" t="str">
        <f aca="false">IFERROR(G316/J316,"")</f>
        <v/>
      </c>
    </row>
    <row r="317" customFormat="false" ht="13.8" hidden="false" customHeight="false" outlineLevel="0" collapsed="false">
      <c r="A317" s="1" t="s">
        <v>17</v>
      </c>
      <c r="B317" s="1" t="s">
        <v>115</v>
      </c>
      <c r="C317" s="2" t="n">
        <v>45691</v>
      </c>
      <c r="D317" s="2" t="n">
        <v>45716</v>
      </c>
      <c r="E317" s="1" t="s">
        <v>31</v>
      </c>
      <c r="F317" s="1" t="n">
        <v>14982.92</v>
      </c>
      <c r="G317" s="3" t="n">
        <v>14982.92</v>
      </c>
      <c r="H317" s="3"/>
      <c r="I317" s="1" t="s">
        <v>19</v>
      </c>
      <c r="L317" s="1" t="str">
        <f aca="false">IFERROR(G317/J317,"")</f>
        <v/>
      </c>
    </row>
    <row r="318" customFormat="false" ht="13.8" hidden="false" customHeight="false" outlineLevel="0" collapsed="false">
      <c r="A318" s="1" t="s">
        <v>12</v>
      </c>
      <c r="B318" s="1" t="s">
        <v>115</v>
      </c>
      <c r="C318" s="2" t="n">
        <v>45691</v>
      </c>
      <c r="D318" s="2" t="n">
        <v>45716</v>
      </c>
      <c r="E318" s="1" t="s">
        <v>21</v>
      </c>
      <c r="F318" s="1" t="n">
        <v>9698.15</v>
      </c>
      <c r="G318" s="3" t="n">
        <v>9698.15</v>
      </c>
      <c r="H318" s="3"/>
      <c r="I318" s="1" t="s">
        <v>15</v>
      </c>
      <c r="L318" s="1" t="str">
        <f aca="false">IFERROR(G318/J318,"")</f>
        <v/>
      </c>
    </row>
    <row r="319" customFormat="false" ht="13.8" hidden="false" customHeight="false" outlineLevel="0" collapsed="false">
      <c r="A319" s="1" t="s">
        <v>12</v>
      </c>
      <c r="B319" s="1" t="s">
        <v>115</v>
      </c>
      <c r="C319" s="2" t="n">
        <v>45691</v>
      </c>
      <c r="D319" s="2" t="n">
        <v>45716</v>
      </c>
      <c r="E319" s="1" t="s">
        <v>31</v>
      </c>
      <c r="F319" s="1" t="n">
        <v>11986.48</v>
      </c>
      <c r="G319" s="3" t="n">
        <v>11986.48</v>
      </c>
      <c r="H319" s="3"/>
      <c r="I319" s="1" t="s">
        <v>19</v>
      </c>
      <c r="L319" s="1" t="str">
        <f aca="false">IFERROR(G319/J319,"")</f>
        <v/>
      </c>
    </row>
    <row r="320" customFormat="false" ht="13.8" hidden="false" customHeight="false" outlineLevel="0" collapsed="false">
      <c r="A320" s="1" t="s">
        <v>12</v>
      </c>
      <c r="B320" s="1" t="s">
        <v>115</v>
      </c>
      <c r="C320" s="2" t="n">
        <v>45694</v>
      </c>
      <c r="D320" s="2" t="n">
        <v>45716</v>
      </c>
      <c r="E320" s="1" t="s">
        <v>72</v>
      </c>
      <c r="F320" s="1" t="n">
        <v>4920</v>
      </c>
      <c r="G320" s="3" t="n">
        <v>4920</v>
      </c>
      <c r="H320" s="3"/>
      <c r="I320" s="1" t="s">
        <v>15</v>
      </c>
      <c r="L320" s="1" t="str">
        <f aca="false">IFERROR(G320/J320,"")</f>
        <v/>
      </c>
    </row>
    <row r="321" customFormat="false" ht="13.8" hidden="false" customHeight="false" outlineLevel="0" collapsed="false">
      <c r="A321" s="1" t="s">
        <v>17</v>
      </c>
      <c r="B321" s="1" t="s">
        <v>115</v>
      </c>
      <c r="C321" s="2" t="n">
        <v>45698</v>
      </c>
      <c r="D321" s="2" t="n">
        <v>45716</v>
      </c>
      <c r="E321" s="1" t="s">
        <v>119</v>
      </c>
      <c r="F321" s="1" t="n">
        <v>3060</v>
      </c>
      <c r="G321" s="3" t="n">
        <v>3060</v>
      </c>
      <c r="H321" s="3"/>
      <c r="I321" s="1" t="s">
        <v>15</v>
      </c>
      <c r="L321" s="1" t="str">
        <f aca="false">IFERROR(G321/J321,"")</f>
        <v/>
      </c>
    </row>
    <row r="322" customFormat="false" ht="13.8" hidden="false" customHeight="false" outlineLevel="0" collapsed="false">
      <c r="A322" s="1" t="s">
        <v>17</v>
      </c>
      <c r="B322" s="1" t="s">
        <v>115</v>
      </c>
      <c r="C322" s="2" t="n">
        <v>45701</v>
      </c>
      <c r="D322" s="2" t="n">
        <v>45716</v>
      </c>
      <c r="E322" s="1" t="s">
        <v>91</v>
      </c>
      <c r="F322" s="1" t="n">
        <v>387.09</v>
      </c>
      <c r="G322" s="1" t="n">
        <v>387.09</v>
      </c>
      <c r="I322" s="1" t="s">
        <v>19</v>
      </c>
      <c r="L322" s="1" t="str">
        <f aca="false">IFERROR(G322/J322,"")</f>
        <v/>
      </c>
    </row>
    <row r="323" customFormat="false" ht="13.8" hidden="false" customHeight="false" outlineLevel="0" collapsed="false">
      <c r="A323" s="1" t="s">
        <v>12</v>
      </c>
      <c r="B323" s="1" t="s">
        <v>115</v>
      </c>
      <c r="C323" s="2" t="n">
        <v>45710</v>
      </c>
      <c r="D323" s="2" t="n">
        <v>45716</v>
      </c>
      <c r="E323" s="1" t="s">
        <v>22</v>
      </c>
      <c r="F323" s="1" t="n">
        <v>1904</v>
      </c>
      <c r="G323" s="3" t="n">
        <v>1904</v>
      </c>
      <c r="H323" s="3"/>
      <c r="I323" s="1" t="s">
        <v>15</v>
      </c>
      <c r="L323" s="1" t="str">
        <f aca="false">IFERROR(G323/J323,"")</f>
        <v/>
      </c>
    </row>
    <row r="324" customFormat="false" ht="13.8" hidden="false" customHeight="false" outlineLevel="0" collapsed="false">
      <c r="A324" s="1" t="s">
        <v>17</v>
      </c>
      <c r="B324" s="1" t="s">
        <v>115</v>
      </c>
      <c r="C324" s="2" t="n">
        <v>45715</v>
      </c>
      <c r="D324" s="2" t="n">
        <v>45716</v>
      </c>
      <c r="E324" s="1" t="s">
        <v>22</v>
      </c>
      <c r="F324" s="1" t="n">
        <v>608</v>
      </c>
      <c r="G324" s="1" t="n">
        <v>608</v>
      </c>
      <c r="I324" s="1" t="s">
        <v>15</v>
      </c>
      <c r="L324" s="1" t="str">
        <f aca="false">IFERROR(G324/J324,"")</f>
        <v/>
      </c>
    </row>
    <row r="325" customFormat="false" ht="13.8" hidden="false" customHeight="false" outlineLevel="0" collapsed="false">
      <c r="A325" s="1" t="s">
        <v>12</v>
      </c>
      <c r="B325" s="1" t="s">
        <v>115</v>
      </c>
      <c r="C325" s="2" t="n">
        <v>45715</v>
      </c>
      <c r="D325" s="2" t="n">
        <v>45716</v>
      </c>
      <c r="E325" s="1" t="s">
        <v>22</v>
      </c>
      <c r="F325" s="1" t="n">
        <v>544</v>
      </c>
      <c r="G325" s="1" t="n">
        <v>544</v>
      </c>
      <c r="I325" s="1" t="s">
        <v>15</v>
      </c>
      <c r="L325" s="1" t="str">
        <f aca="false">IFERROR(G325/J325,"")</f>
        <v/>
      </c>
    </row>
    <row r="326" customFormat="false" ht="13.8" hidden="false" customHeight="false" outlineLevel="0" collapsed="false">
      <c r="A326" s="1" t="s">
        <v>17</v>
      </c>
      <c r="B326" s="1" t="s">
        <v>115</v>
      </c>
      <c r="C326" s="2" t="n">
        <v>45710</v>
      </c>
      <c r="D326" s="2" t="n">
        <v>45717</v>
      </c>
      <c r="E326" s="1" t="s">
        <v>22</v>
      </c>
      <c r="F326" s="1" t="n">
        <v>2352</v>
      </c>
      <c r="G326" s="3" t="n">
        <v>2352</v>
      </c>
      <c r="H326" s="3"/>
      <c r="I326" s="1" t="s">
        <v>15</v>
      </c>
      <c r="L326" s="1" t="str">
        <f aca="false">IFERROR(G326/J326,"")</f>
        <v/>
      </c>
    </row>
    <row r="327" customFormat="false" ht="13.8" hidden="false" customHeight="false" outlineLevel="0" collapsed="false">
      <c r="A327" s="1" t="s">
        <v>17</v>
      </c>
      <c r="B327" s="1" t="s">
        <v>120</v>
      </c>
      <c r="C327" s="2" t="n">
        <v>45717</v>
      </c>
      <c r="D327" s="2" t="n">
        <v>45717</v>
      </c>
      <c r="E327" s="1" t="s">
        <v>22</v>
      </c>
      <c r="F327" s="1" t="n">
        <v>336</v>
      </c>
      <c r="G327" s="1" t="n">
        <v>336</v>
      </c>
      <c r="I327" s="1" t="s">
        <v>15</v>
      </c>
      <c r="L327" s="1" t="str">
        <f aca="false">IFERROR(G327/J327,"")</f>
        <v/>
      </c>
    </row>
    <row r="328" customFormat="false" ht="13.8" hidden="false" customHeight="false" outlineLevel="0" collapsed="false">
      <c r="A328" s="1" t="s">
        <v>12</v>
      </c>
      <c r="B328" s="1" t="s">
        <v>120</v>
      </c>
      <c r="C328" s="2" t="n">
        <v>45717</v>
      </c>
      <c r="D328" s="2" t="n">
        <v>45717</v>
      </c>
      <c r="E328" s="1" t="s">
        <v>22</v>
      </c>
      <c r="F328" s="1" t="n">
        <v>272</v>
      </c>
      <c r="G328" s="1" t="n">
        <v>272</v>
      </c>
      <c r="I328" s="1" t="s">
        <v>15</v>
      </c>
      <c r="L328" s="1" t="str">
        <f aca="false">IFERROR(G328/J328,"")</f>
        <v/>
      </c>
    </row>
    <row r="329" customFormat="false" ht="13.8" hidden="false" customHeight="false" outlineLevel="0" collapsed="false">
      <c r="A329" s="1" t="s">
        <v>12</v>
      </c>
      <c r="B329" s="1" t="s">
        <v>115</v>
      </c>
      <c r="C329" s="2" t="n">
        <v>45711</v>
      </c>
      <c r="D329" s="2" t="n">
        <v>45730</v>
      </c>
      <c r="E329" s="1" t="s">
        <v>121</v>
      </c>
      <c r="F329" s="1" t="n">
        <v>2020</v>
      </c>
      <c r="G329" s="3" t="n">
        <v>2020</v>
      </c>
      <c r="H329" s="3"/>
      <c r="I329" s="1" t="s">
        <v>15</v>
      </c>
      <c r="L329" s="1" t="str">
        <f aca="false">IFERROR(G329/J329,"")</f>
        <v/>
      </c>
    </row>
    <row r="330" customFormat="false" ht="13.8" hidden="false" customHeight="false" outlineLevel="0" collapsed="false">
      <c r="A330" s="1" t="s">
        <v>12</v>
      </c>
      <c r="B330" s="1" t="s">
        <v>120</v>
      </c>
      <c r="C330" s="2" t="n">
        <v>45731</v>
      </c>
      <c r="D330" s="2" t="n">
        <v>45731</v>
      </c>
      <c r="E330" s="1" t="s">
        <v>79</v>
      </c>
      <c r="F330" s="1" t="n">
        <v>1600</v>
      </c>
      <c r="G330" s="3" t="n">
        <v>1600</v>
      </c>
      <c r="H330" s="3"/>
      <c r="I330" s="1" t="s">
        <v>15</v>
      </c>
      <c r="L330" s="1" t="str">
        <f aca="false">IFERROR(G330/J330,"")</f>
        <v/>
      </c>
    </row>
    <row r="331" customFormat="false" ht="13.8" hidden="false" customHeight="false" outlineLevel="0" collapsed="false">
      <c r="A331" s="1" t="s">
        <v>12</v>
      </c>
      <c r="B331" s="1" t="s">
        <v>120</v>
      </c>
      <c r="C331" s="2" t="n">
        <v>45731</v>
      </c>
      <c r="D331" s="2" t="n">
        <v>45731</v>
      </c>
      <c r="E331" s="1" t="s">
        <v>109</v>
      </c>
      <c r="F331" s="1" t="n">
        <v>2000</v>
      </c>
      <c r="G331" s="3" t="n">
        <v>2000</v>
      </c>
      <c r="H331" s="3"/>
      <c r="I331" s="1" t="s">
        <v>19</v>
      </c>
      <c r="L331" s="1" t="str">
        <f aca="false">IFERROR(G331/J331,"")</f>
        <v/>
      </c>
    </row>
    <row r="332" customFormat="false" ht="13.8" hidden="false" customHeight="false" outlineLevel="0" collapsed="false">
      <c r="A332" s="1" t="s">
        <v>17</v>
      </c>
      <c r="B332" s="1" t="s">
        <v>120</v>
      </c>
      <c r="C332" s="2" t="n">
        <v>45727</v>
      </c>
      <c r="D332" s="2" t="n">
        <v>45733</v>
      </c>
      <c r="E332" s="1" t="s">
        <v>33</v>
      </c>
      <c r="F332" s="1" t="n">
        <v>3281.53</v>
      </c>
      <c r="G332" s="3" t="n">
        <v>3281.53</v>
      </c>
      <c r="H332" s="3"/>
      <c r="I332" s="1" t="s">
        <v>15</v>
      </c>
      <c r="L332" s="1" t="str">
        <f aca="false">IFERROR(G332/J332,"")</f>
        <v/>
      </c>
    </row>
    <row r="333" customFormat="false" ht="13.8" hidden="false" customHeight="false" outlineLevel="0" collapsed="false">
      <c r="A333" s="1" t="s">
        <v>17</v>
      </c>
      <c r="B333" s="1" t="s">
        <v>115</v>
      </c>
      <c r="C333" s="2" t="n">
        <v>45708</v>
      </c>
      <c r="D333" s="2" t="n">
        <v>45734</v>
      </c>
      <c r="E333" s="1" t="s">
        <v>27</v>
      </c>
      <c r="F333" s="1" t="n">
        <v>3960</v>
      </c>
      <c r="G333" s="3" t="n">
        <v>3960</v>
      </c>
      <c r="H333" s="3"/>
      <c r="I333" s="1" t="s">
        <v>15</v>
      </c>
      <c r="L333" s="1" t="str">
        <f aca="false">IFERROR(G333/J333,"")</f>
        <v/>
      </c>
    </row>
    <row r="334" customFormat="false" ht="13.8" hidden="false" customHeight="false" outlineLevel="0" collapsed="false">
      <c r="A334" s="1" t="s">
        <v>12</v>
      </c>
      <c r="B334" s="1" t="s">
        <v>120</v>
      </c>
      <c r="C334" s="2" t="n">
        <v>45736</v>
      </c>
      <c r="D334" s="2" t="n">
        <v>45737</v>
      </c>
      <c r="E334" s="1" t="s">
        <v>79</v>
      </c>
      <c r="F334" s="1" t="n">
        <v>1600</v>
      </c>
      <c r="G334" s="3" t="n">
        <v>1600</v>
      </c>
      <c r="H334" s="3"/>
      <c r="I334" s="1" t="s">
        <v>15</v>
      </c>
      <c r="L334" s="1" t="str">
        <f aca="false">IFERROR(G334/J334,"")</f>
        <v/>
      </c>
    </row>
    <row r="335" customFormat="false" ht="13.8" hidden="false" customHeight="false" outlineLevel="0" collapsed="false">
      <c r="A335" s="1" t="s">
        <v>17</v>
      </c>
      <c r="B335" s="1" t="s">
        <v>120</v>
      </c>
      <c r="C335" s="2" t="n">
        <v>45733</v>
      </c>
      <c r="D335" s="2" t="n">
        <v>45738</v>
      </c>
      <c r="E335" s="1" t="s">
        <v>26</v>
      </c>
      <c r="F335" s="1" t="n">
        <v>2183.62</v>
      </c>
      <c r="G335" s="3" t="n">
        <v>2183.62</v>
      </c>
      <c r="H335" s="3"/>
      <c r="I335" s="1" t="s">
        <v>15</v>
      </c>
      <c r="L335" s="1" t="str">
        <f aca="false">IFERROR(G335/J335,"")</f>
        <v/>
      </c>
    </row>
    <row r="336" customFormat="false" ht="13.8" hidden="false" customHeight="false" outlineLevel="0" collapsed="false">
      <c r="A336" s="1" t="s">
        <v>12</v>
      </c>
      <c r="B336" s="1" t="s">
        <v>120</v>
      </c>
      <c r="C336" s="2" t="n">
        <v>45733</v>
      </c>
      <c r="D336" s="2" t="n">
        <v>45738</v>
      </c>
      <c r="E336" s="1" t="s">
        <v>26</v>
      </c>
      <c r="F336" s="1" t="n">
        <v>2164.19</v>
      </c>
      <c r="G336" s="3" t="n">
        <v>2164.19</v>
      </c>
      <c r="H336" s="3"/>
      <c r="I336" s="1" t="s">
        <v>15</v>
      </c>
      <c r="L336" s="1" t="str">
        <f aca="false">IFERROR(G336/J336,"")</f>
        <v/>
      </c>
    </row>
    <row r="337" customFormat="false" ht="13.8" hidden="false" customHeight="false" outlineLevel="0" collapsed="false">
      <c r="A337" s="1" t="s">
        <v>17</v>
      </c>
      <c r="B337" s="1" t="s">
        <v>120</v>
      </c>
      <c r="C337" s="2" t="n">
        <v>45722</v>
      </c>
      <c r="D337" s="2" t="n">
        <v>45740</v>
      </c>
      <c r="E337" s="1" t="s">
        <v>122</v>
      </c>
      <c r="F337" s="1" t="n">
        <v>3340.8</v>
      </c>
      <c r="G337" s="3" t="n">
        <v>3340.8</v>
      </c>
      <c r="H337" s="3"/>
      <c r="I337" s="1" t="s">
        <v>19</v>
      </c>
      <c r="L337" s="1" t="str">
        <f aca="false">IFERROR(G337/J337,"")</f>
        <v/>
      </c>
    </row>
    <row r="338" customFormat="false" ht="13.8" hidden="false" customHeight="false" outlineLevel="0" collapsed="false">
      <c r="A338" s="1" t="s">
        <v>12</v>
      </c>
      <c r="B338" s="1" t="s">
        <v>120</v>
      </c>
      <c r="C338" s="2" t="n">
        <v>45723</v>
      </c>
      <c r="D338" s="2" t="n">
        <v>45744</v>
      </c>
      <c r="E338" s="1" t="s">
        <v>109</v>
      </c>
      <c r="F338" s="1" t="n">
        <v>2700</v>
      </c>
      <c r="G338" s="3" t="n">
        <v>2700</v>
      </c>
      <c r="H338" s="3"/>
      <c r="I338" s="1" t="s">
        <v>19</v>
      </c>
      <c r="L338" s="1" t="str">
        <f aca="false">IFERROR(G338/J338,"")</f>
        <v/>
      </c>
    </row>
    <row r="339" customFormat="false" ht="13.8" hidden="false" customHeight="false" outlineLevel="0" collapsed="false">
      <c r="A339" s="1" t="s">
        <v>12</v>
      </c>
      <c r="B339" s="1" t="s">
        <v>120</v>
      </c>
      <c r="C339" s="2" t="n">
        <v>45726</v>
      </c>
      <c r="D339" s="2" t="n">
        <v>45744</v>
      </c>
      <c r="E339" s="1" t="s">
        <v>72</v>
      </c>
      <c r="F339" s="1" t="n">
        <v>4920</v>
      </c>
      <c r="G339" s="3" t="n">
        <v>4920</v>
      </c>
      <c r="H339" s="3"/>
      <c r="I339" s="1" t="s">
        <v>15</v>
      </c>
      <c r="L339" s="1" t="str">
        <f aca="false">IFERROR(G339/J339,"")</f>
        <v/>
      </c>
    </row>
    <row r="340" customFormat="false" ht="13.8" hidden="false" customHeight="false" outlineLevel="0" collapsed="false">
      <c r="A340" s="1" t="s">
        <v>17</v>
      </c>
      <c r="B340" s="1" t="s">
        <v>107</v>
      </c>
      <c r="C340" s="2" t="n">
        <v>45659</v>
      </c>
      <c r="D340" s="2" t="n">
        <v>45747</v>
      </c>
      <c r="E340" s="1" t="s">
        <v>123</v>
      </c>
      <c r="F340" s="1" t="n">
        <v>5400</v>
      </c>
      <c r="G340" s="3" t="n">
        <v>5400</v>
      </c>
      <c r="H340" s="3"/>
      <c r="I340" s="1" t="s">
        <v>15</v>
      </c>
      <c r="L340" s="1" t="str">
        <f aca="false">IFERROR(G340/J340,"")</f>
        <v/>
      </c>
    </row>
    <row r="341" customFormat="false" ht="13.8" hidden="false" customHeight="false" outlineLevel="0" collapsed="false">
      <c r="A341" s="1" t="s">
        <v>50</v>
      </c>
      <c r="B341" s="1" t="s">
        <v>120</v>
      </c>
      <c r="C341" s="2" t="n">
        <v>45717</v>
      </c>
      <c r="D341" s="2" t="n">
        <v>45747</v>
      </c>
      <c r="E341" s="1" t="s">
        <v>110</v>
      </c>
      <c r="F341" s="1" t="n">
        <v>11842.8</v>
      </c>
      <c r="G341" s="3" t="n">
        <v>11842.8</v>
      </c>
      <c r="H341" s="3"/>
      <c r="I341" s="1" t="s">
        <v>19</v>
      </c>
      <c r="L341" s="1" t="str">
        <f aca="false">IFERROR(G341/J341,"")</f>
        <v/>
      </c>
    </row>
    <row r="342" customFormat="false" ht="13.8" hidden="false" customHeight="false" outlineLevel="0" collapsed="false">
      <c r="A342" s="1" t="s">
        <v>17</v>
      </c>
      <c r="B342" s="1" t="s">
        <v>120</v>
      </c>
      <c r="C342" s="2" t="n">
        <v>45717</v>
      </c>
      <c r="D342" s="2" t="n">
        <v>45747</v>
      </c>
      <c r="E342" s="1" t="s">
        <v>47</v>
      </c>
      <c r="F342" s="1" t="n">
        <v>5390</v>
      </c>
      <c r="G342" s="3" t="n">
        <v>5390</v>
      </c>
      <c r="H342" s="3"/>
      <c r="I342" s="1" t="s">
        <v>15</v>
      </c>
      <c r="L342" s="1" t="str">
        <f aca="false">IFERROR(G342/J342,"")</f>
        <v/>
      </c>
    </row>
    <row r="343" customFormat="false" ht="13.8" hidden="false" customHeight="false" outlineLevel="0" collapsed="false">
      <c r="A343" s="1" t="s">
        <v>17</v>
      </c>
      <c r="B343" s="1" t="s">
        <v>120</v>
      </c>
      <c r="C343" s="2" t="n">
        <v>45717</v>
      </c>
      <c r="D343" s="2" t="n">
        <v>45747</v>
      </c>
      <c r="E343" s="1" t="s">
        <v>22</v>
      </c>
      <c r="F343" s="1" t="n">
        <v>6080</v>
      </c>
      <c r="G343" s="3" t="n">
        <v>6080</v>
      </c>
      <c r="H343" s="3"/>
      <c r="I343" s="1" t="s">
        <v>15</v>
      </c>
      <c r="L343" s="1" t="str">
        <f aca="false">IFERROR(G343/J343,"")</f>
        <v/>
      </c>
    </row>
    <row r="344" customFormat="false" ht="13.8" hidden="false" customHeight="false" outlineLevel="0" collapsed="false">
      <c r="A344" s="1" t="s">
        <v>17</v>
      </c>
      <c r="B344" s="1" t="s">
        <v>120</v>
      </c>
      <c r="C344" s="2" t="n">
        <v>45717</v>
      </c>
      <c r="D344" s="2" t="n">
        <v>45747</v>
      </c>
      <c r="E344" s="1" t="s">
        <v>118</v>
      </c>
      <c r="F344" s="1" t="n">
        <v>3292.85</v>
      </c>
      <c r="G344" s="3" t="n">
        <v>3292.85</v>
      </c>
      <c r="H344" s="3"/>
      <c r="I344" s="1" t="s">
        <v>19</v>
      </c>
      <c r="L344" s="1" t="str">
        <f aca="false">IFERROR(G344/J344,"")</f>
        <v/>
      </c>
    </row>
    <row r="345" customFormat="false" ht="13.8" hidden="false" customHeight="false" outlineLevel="0" collapsed="false">
      <c r="A345" s="1" t="s">
        <v>12</v>
      </c>
      <c r="B345" s="1" t="s">
        <v>120</v>
      </c>
      <c r="C345" s="2" t="n">
        <v>45717</v>
      </c>
      <c r="D345" s="2" t="n">
        <v>45747</v>
      </c>
      <c r="E345" s="1" t="s">
        <v>22</v>
      </c>
      <c r="F345" s="1" t="n">
        <v>5440</v>
      </c>
      <c r="G345" s="3" t="n">
        <v>5440</v>
      </c>
      <c r="H345" s="3"/>
      <c r="I345" s="1" t="s">
        <v>15</v>
      </c>
      <c r="L345" s="1" t="str">
        <f aca="false">IFERROR(G345/J345,"")</f>
        <v/>
      </c>
    </row>
    <row r="346" customFormat="false" ht="13.8" hidden="false" customHeight="false" outlineLevel="0" collapsed="false">
      <c r="A346" s="1" t="s">
        <v>12</v>
      </c>
      <c r="B346" s="1" t="s">
        <v>120</v>
      </c>
      <c r="C346" s="2" t="n">
        <v>45717</v>
      </c>
      <c r="D346" s="2" t="n">
        <v>45747</v>
      </c>
      <c r="E346" s="1" t="s">
        <v>110</v>
      </c>
      <c r="F346" s="1" t="n">
        <v>6134.4</v>
      </c>
      <c r="G346" s="3" t="n">
        <v>6134.4</v>
      </c>
      <c r="H346" s="3"/>
      <c r="I346" s="1" t="s">
        <v>19</v>
      </c>
      <c r="L346" s="1" t="str">
        <f aca="false">IFERROR(G346/J346,"")</f>
        <v/>
      </c>
    </row>
    <row r="347" customFormat="false" ht="13.8" hidden="false" customHeight="false" outlineLevel="0" collapsed="false">
      <c r="A347" s="1" t="s">
        <v>50</v>
      </c>
      <c r="B347" s="1" t="s">
        <v>120</v>
      </c>
      <c r="C347" s="2" t="n">
        <v>45719</v>
      </c>
      <c r="D347" s="2" t="n">
        <v>45747</v>
      </c>
      <c r="E347" s="1" t="s">
        <v>23</v>
      </c>
      <c r="F347" s="1" t="n">
        <v>7600</v>
      </c>
      <c r="G347" s="3" t="n">
        <v>7600</v>
      </c>
      <c r="H347" s="3"/>
      <c r="I347" s="1" t="s">
        <v>15</v>
      </c>
      <c r="L347" s="1" t="str">
        <f aca="false">IFERROR(G347/J347,"")</f>
        <v/>
      </c>
    </row>
    <row r="348" customFormat="false" ht="13.8" hidden="false" customHeight="false" outlineLevel="0" collapsed="false">
      <c r="A348" s="1" t="s">
        <v>17</v>
      </c>
      <c r="B348" s="1" t="s">
        <v>120</v>
      </c>
      <c r="C348" s="2" t="n">
        <v>45719</v>
      </c>
      <c r="D348" s="2" t="n">
        <v>45747</v>
      </c>
      <c r="E348" s="1" t="s">
        <v>23</v>
      </c>
      <c r="F348" s="1" t="n">
        <v>4213.44</v>
      </c>
      <c r="G348" s="3" t="n">
        <v>4213.44</v>
      </c>
      <c r="H348" s="3"/>
      <c r="I348" s="1" t="s">
        <v>15</v>
      </c>
      <c r="L348" s="1" t="str">
        <f aca="false">IFERROR(G348/J348,"")</f>
        <v/>
      </c>
    </row>
    <row r="349" customFormat="false" ht="13.8" hidden="false" customHeight="false" outlineLevel="0" collapsed="false">
      <c r="A349" s="1" t="s">
        <v>17</v>
      </c>
      <c r="B349" s="1" t="s">
        <v>120</v>
      </c>
      <c r="C349" s="2" t="n">
        <v>45719</v>
      </c>
      <c r="D349" s="2" t="n">
        <v>45747</v>
      </c>
      <c r="E349" s="1" t="s">
        <v>119</v>
      </c>
      <c r="F349" s="1" t="n">
        <v>3780</v>
      </c>
      <c r="G349" s="3" t="n">
        <v>3780</v>
      </c>
      <c r="H349" s="3"/>
      <c r="I349" s="1" t="s">
        <v>15</v>
      </c>
      <c r="L349" s="1" t="str">
        <f aca="false">IFERROR(G349/J349,"")</f>
        <v/>
      </c>
    </row>
    <row r="350" customFormat="false" ht="13.8" hidden="false" customHeight="false" outlineLevel="0" collapsed="false">
      <c r="A350" s="1" t="s">
        <v>12</v>
      </c>
      <c r="B350" s="1" t="s">
        <v>120</v>
      </c>
      <c r="C350" s="2" t="n">
        <v>45719</v>
      </c>
      <c r="D350" s="2" t="n">
        <v>45747</v>
      </c>
      <c r="E350" s="1" t="s">
        <v>21</v>
      </c>
      <c r="F350" s="1" t="n">
        <v>6788.71</v>
      </c>
      <c r="G350" s="3" t="n">
        <v>6788.71</v>
      </c>
      <c r="H350" s="3"/>
      <c r="I350" s="1" t="s">
        <v>15</v>
      </c>
      <c r="L350" s="1" t="str">
        <f aca="false">IFERROR(G350/J350,"")</f>
        <v/>
      </c>
    </row>
    <row r="351" customFormat="false" ht="13.8" hidden="false" customHeight="false" outlineLevel="0" collapsed="false">
      <c r="A351" s="1" t="s">
        <v>17</v>
      </c>
      <c r="B351" s="1" t="s">
        <v>120</v>
      </c>
      <c r="C351" s="2" t="n">
        <v>45721</v>
      </c>
      <c r="D351" s="2" t="n">
        <v>45747</v>
      </c>
      <c r="E351" s="1" t="s">
        <v>46</v>
      </c>
      <c r="F351" s="1" t="n">
        <v>2052</v>
      </c>
      <c r="G351" s="3" t="n">
        <v>2052</v>
      </c>
      <c r="H351" s="3"/>
      <c r="I351" s="1" t="s">
        <v>15</v>
      </c>
      <c r="L351" s="1" t="str">
        <f aca="false">IFERROR(G351/J351,"")</f>
        <v/>
      </c>
    </row>
    <row r="352" customFormat="false" ht="13.8" hidden="false" customHeight="false" outlineLevel="0" collapsed="false">
      <c r="A352" s="1" t="s">
        <v>12</v>
      </c>
      <c r="B352" s="1" t="s">
        <v>120</v>
      </c>
      <c r="C352" s="2" t="n">
        <v>45722</v>
      </c>
      <c r="D352" s="2" t="n">
        <v>45747</v>
      </c>
      <c r="E352" s="1" t="s">
        <v>124</v>
      </c>
      <c r="F352" s="1" t="n">
        <v>1600</v>
      </c>
      <c r="G352" s="3" t="n">
        <v>1600</v>
      </c>
      <c r="H352" s="3"/>
      <c r="I352" s="1" t="s">
        <v>19</v>
      </c>
      <c r="L352" s="1" t="str">
        <f aca="false">IFERROR(G352/J352,"")</f>
        <v/>
      </c>
    </row>
    <row r="353" customFormat="false" ht="13.8" hidden="false" customHeight="false" outlineLevel="0" collapsed="false">
      <c r="A353" s="1" t="s">
        <v>17</v>
      </c>
      <c r="B353" s="1" t="s">
        <v>120</v>
      </c>
      <c r="C353" s="2" t="n">
        <v>45740</v>
      </c>
      <c r="D353" s="2" t="n">
        <v>45747</v>
      </c>
      <c r="E353" s="1" t="s">
        <v>125</v>
      </c>
      <c r="F353" s="1" t="n">
        <v>2400</v>
      </c>
      <c r="G353" s="3" t="n">
        <v>2400</v>
      </c>
      <c r="H353" s="3"/>
      <c r="I353" s="1" t="s">
        <v>15</v>
      </c>
      <c r="L353" s="1" t="str">
        <f aca="false">IFERROR(G353/J353,"")</f>
        <v/>
      </c>
    </row>
    <row r="354" customFormat="false" ht="13.8" hidden="false" customHeight="false" outlineLevel="0" collapsed="false">
      <c r="A354" s="1" t="s">
        <v>50</v>
      </c>
      <c r="B354" s="1" t="s">
        <v>120</v>
      </c>
      <c r="C354" s="2" t="n">
        <v>45743</v>
      </c>
      <c r="D354" s="2" t="n">
        <v>45747</v>
      </c>
      <c r="E354" s="1" t="s">
        <v>59</v>
      </c>
      <c r="F354" s="1" t="n">
        <v>1000</v>
      </c>
      <c r="G354" s="3" t="n">
        <v>1000</v>
      </c>
      <c r="H354" s="3"/>
      <c r="I354" s="1" t="s">
        <v>15</v>
      </c>
      <c r="L354" s="1" t="str">
        <f aca="false">IFERROR(G354/J354,"")</f>
        <v/>
      </c>
    </row>
    <row r="355" customFormat="false" ht="13.8" hidden="false" customHeight="false" outlineLevel="0" collapsed="false">
      <c r="A355" s="1" t="s">
        <v>50</v>
      </c>
      <c r="B355" s="1" t="s">
        <v>120</v>
      </c>
      <c r="C355" s="2" t="n">
        <v>45743</v>
      </c>
      <c r="D355" s="2" t="n">
        <v>45747</v>
      </c>
      <c r="E355" s="1" t="s">
        <v>59</v>
      </c>
      <c r="F355" s="1" t="n">
        <v>1000</v>
      </c>
      <c r="G355" s="3" t="n">
        <v>1000</v>
      </c>
      <c r="H355" s="3"/>
      <c r="I355" s="1" t="s">
        <v>15</v>
      </c>
      <c r="L355" s="1" t="str">
        <f aca="false">IFERROR(G355/J355,"")</f>
        <v/>
      </c>
    </row>
    <row r="356" customFormat="false" ht="13.8" hidden="false" customHeight="false" outlineLevel="0" collapsed="false">
      <c r="A356" s="1" t="s">
        <v>17</v>
      </c>
      <c r="B356" s="1" t="s">
        <v>120</v>
      </c>
      <c r="C356" s="2" t="n">
        <v>45745</v>
      </c>
      <c r="D356" s="2" t="n">
        <v>45751</v>
      </c>
      <c r="E356" s="1" t="s">
        <v>33</v>
      </c>
      <c r="F356" s="1" t="n">
        <v>3281.53</v>
      </c>
      <c r="G356" s="3" t="n">
        <v>3281.53</v>
      </c>
      <c r="H356" s="3"/>
      <c r="I356" s="1" t="s">
        <v>15</v>
      </c>
      <c r="L356" s="1" t="str">
        <f aca="false">IFERROR(G356/J356,"")</f>
        <v/>
      </c>
    </row>
    <row r="357" customFormat="false" ht="13.8" hidden="false" customHeight="false" outlineLevel="0" collapsed="false">
      <c r="A357" s="5" t="s">
        <v>12</v>
      </c>
      <c r="B357" s="6" t="n">
        <v>45748</v>
      </c>
      <c r="C357" s="7" t="n">
        <v>45747</v>
      </c>
      <c r="D357" s="7" t="n">
        <v>45751</v>
      </c>
      <c r="E357" s="5" t="s">
        <v>126</v>
      </c>
      <c r="F357" s="8" t="n">
        <v>1016.92</v>
      </c>
      <c r="G357" s="8" t="n">
        <v>813.536</v>
      </c>
      <c r="H357" s="9"/>
      <c r="I357" s="9" t="s">
        <v>127</v>
      </c>
      <c r="K357" s="9" t="s">
        <v>128</v>
      </c>
      <c r="L357" s="1" t="str">
        <f aca="false">IFERROR(G357/J357,"")</f>
        <v/>
      </c>
    </row>
    <row r="358" customFormat="false" ht="13.8" hidden="false" customHeight="false" outlineLevel="0" collapsed="false">
      <c r="A358" s="1" t="s">
        <v>17</v>
      </c>
      <c r="B358" s="1" t="s">
        <v>129</v>
      </c>
      <c r="C358" s="2" t="n">
        <v>45748</v>
      </c>
      <c r="D358" s="2" t="n">
        <v>45757</v>
      </c>
      <c r="E358" s="1" t="s">
        <v>22</v>
      </c>
      <c r="F358" s="1" t="n">
        <v>4200</v>
      </c>
      <c r="G358" s="3" t="n">
        <v>4200</v>
      </c>
      <c r="H358" s="3"/>
      <c r="I358" s="1" t="s">
        <v>15</v>
      </c>
      <c r="L358" s="1" t="str">
        <f aca="false">IFERROR(G358/J358,"")</f>
        <v/>
      </c>
    </row>
    <row r="359" customFormat="false" ht="13.8" hidden="false" customHeight="false" outlineLevel="0" collapsed="false">
      <c r="A359" s="1" t="s">
        <v>12</v>
      </c>
      <c r="B359" s="1" t="s">
        <v>129</v>
      </c>
      <c r="C359" s="2" t="n">
        <v>45748</v>
      </c>
      <c r="D359" s="2" t="n">
        <v>45757</v>
      </c>
      <c r="E359" s="1" t="s">
        <v>22</v>
      </c>
      <c r="F359" s="1" t="n">
        <v>3400</v>
      </c>
      <c r="G359" s="3" t="n">
        <v>3400</v>
      </c>
      <c r="H359" s="3"/>
      <c r="I359" s="1" t="s">
        <v>15</v>
      </c>
      <c r="L359" s="1" t="str">
        <f aca="false">IFERROR(G359/J359,"")</f>
        <v/>
      </c>
    </row>
    <row r="360" customFormat="false" ht="13.8" hidden="false" customHeight="false" outlineLevel="0" collapsed="false">
      <c r="A360" s="10" t="s">
        <v>12</v>
      </c>
      <c r="B360" s="6" t="n">
        <v>45748</v>
      </c>
      <c r="C360" s="7" t="n">
        <v>45749</v>
      </c>
      <c r="D360" s="7" t="n">
        <v>45758</v>
      </c>
      <c r="E360" s="5" t="s">
        <v>130</v>
      </c>
      <c r="F360" s="8" t="n">
        <v>2283.1</v>
      </c>
      <c r="G360" s="8" t="n">
        <v>1826.48</v>
      </c>
      <c r="H360" s="9" t="s">
        <v>131</v>
      </c>
      <c r="I360" s="9" t="s">
        <v>132</v>
      </c>
      <c r="K360" s="9" t="s">
        <v>133</v>
      </c>
      <c r="L360" s="1" t="str">
        <f aca="false">IFERROR(G360/J360,"")</f>
        <v/>
      </c>
    </row>
    <row r="361" customFormat="false" ht="13.8" hidden="false" customHeight="false" outlineLevel="0" collapsed="false">
      <c r="A361" s="5" t="s">
        <v>12</v>
      </c>
      <c r="B361" s="6" t="n">
        <v>45748</v>
      </c>
      <c r="C361" s="7" t="n">
        <v>45750</v>
      </c>
      <c r="D361" s="7" t="n">
        <v>45758</v>
      </c>
      <c r="E361" s="5" t="s">
        <v>130</v>
      </c>
      <c r="F361" s="8" t="n">
        <v>5068.78</v>
      </c>
      <c r="G361" s="8" t="n">
        <v>4055.024</v>
      </c>
      <c r="H361" s="9" t="s">
        <v>134</v>
      </c>
      <c r="I361" s="9" t="s">
        <v>132</v>
      </c>
      <c r="K361" s="9" t="s">
        <v>135</v>
      </c>
      <c r="L361" s="1" t="str">
        <f aca="false">IFERROR(G361/J361,"")</f>
        <v/>
      </c>
    </row>
    <row r="362" customFormat="false" ht="13.8" hidden="false" customHeight="false" outlineLevel="0" collapsed="false">
      <c r="A362" s="1" t="s">
        <v>12</v>
      </c>
      <c r="B362" s="1" t="s">
        <v>129</v>
      </c>
      <c r="C362" s="2" t="n">
        <v>45759</v>
      </c>
      <c r="D362" s="2" t="n">
        <v>45759</v>
      </c>
      <c r="E362" s="1" t="s">
        <v>79</v>
      </c>
      <c r="F362" s="1" t="n">
        <v>800</v>
      </c>
      <c r="G362" s="1" t="n">
        <v>800</v>
      </c>
      <c r="I362" s="1" t="s">
        <v>15</v>
      </c>
      <c r="L362" s="1" t="str">
        <f aca="false">IFERROR(G362/J362,"")</f>
        <v/>
      </c>
    </row>
    <row r="363" customFormat="false" ht="13.8" hidden="false" customHeight="false" outlineLevel="0" collapsed="false">
      <c r="A363" s="1" t="s">
        <v>12</v>
      </c>
      <c r="B363" s="1" t="s">
        <v>129</v>
      </c>
      <c r="C363" s="2" t="n">
        <v>45748</v>
      </c>
      <c r="D363" s="2" t="n">
        <v>45760</v>
      </c>
      <c r="E363" s="1" t="s">
        <v>136</v>
      </c>
      <c r="F363" s="3" t="n">
        <v>1500</v>
      </c>
      <c r="G363" s="3" t="n">
        <v>1500</v>
      </c>
      <c r="H363" s="3"/>
      <c r="I363" s="1" t="s">
        <v>19</v>
      </c>
      <c r="L363" s="1" t="str">
        <f aca="false">IFERROR(G363/J363,"")</f>
        <v/>
      </c>
    </row>
    <row r="364" customFormat="false" ht="13.8" hidden="false" customHeight="false" outlineLevel="0" collapsed="false">
      <c r="A364" s="1" t="s">
        <v>12</v>
      </c>
      <c r="B364" s="1" t="s">
        <v>129</v>
      </c>
      <c r="C364" s="2" t="n">
        <v>45748</v>
      </c>
      <c r="D364" s="2" t="n">
        <v>45760</v>
      </c>
      <c r="E364" s="1" t="s">
        <v>136</v>
      </c>
      <c r="F364" s="3" t="n">
        <v>5000</v>
      </c>
      <c r="G364" s="3" t="n">
        <v>5000</v>
      </c>
      <c r="H364" s="9" t="s">
        <v>137</v>
      </c>
      <c r="I364" s="1" t="s">
        <v>19</v>
      </c>
      <c r="L364" s="1" t="str">
        <f aca="false">IFERROR(G364/J364,"")</f>
        <v/>
      </c>
    </row>
    <row r="365" customFormat="false" ht="13.8" hidden="false" customHeight="false" outlineLevel="0" collapsed="false">
      <c r="A365" s="1" t="s">
        <v>17</v>
      </c>
      <c r="B365" s="1" t="s">
        <v>129</v>
      </c>
      <c r="C365" s="2" t="n">
        <v>45756</v>
      </c>
      <c r="D365" s="2" t="n">
        <v>45762</v>
      </c>
      <c r="E365" s="1" t="s">
        <v>33</v>
      </c>
      <c r="F365" s="1" t="n">
        <v>3281.53</v>
      </c>
      <c r="G365" s="3" t="n">
        <v>3281.53</v>
      </c>
      <c r="H365" s="3"/>
      <c r="I365" s="1" t="s">
        <v>15</v>
      </c>
      <c r="L365" s="1" t="str">
        <f aca="false">IFERROR(G365/J365,"")</f>
        <v/>
      </c>
    </row>
    <row r="366" customFormat="false" ht="13.8" hidden="false" customHeight="false" outlineLevel="0" collapsed="false">
      <c r="A366" s="1" t="s">
        <v>17</v>
      </c>
      <c r="B366" s="1" t="s">
        <v>129</v>
      </c>
      <c r="C366" s="2" t="n">
        <v>45761</v>
      </c>
      <c r="D366" s="2" t="n">
        <v>45762</v>
      </c>
      <c r="E366" s="1" t="s">
        <v>37</v>
      </c>
      <c r="F366" s="1" t="n">
        <v>1000</v>
      </c>
      <c r="G366" s="3" t="n">
        <v>1000</v>
      </c>
      <c r="H366" s="3"/>
      <c r="I366" s="1" t="s">
        <v>15</v>
      </c>
      <c r="L366" s="1" t="str">
        <f aca="false">IFERROR(G366/J366,"")</f>
        <v/>
      </c>
    </row>
    <row r="367" customFormat="false" ht="13.8" hidden="false" customHeight="false" outlineLevel="0" collapsed="false">
      <c r="A367" s="1" t="s">
        <v>12</v>
      </c>
      <c r="B367" s="1" t="s">
        <v>129</v>
      </c>
      <c r="C367" s="2" t="n">
        <v>45761</v>
      </c>
      <c r="D367" s="2" t="n">
        <v>45762</v>
      </c>
      <c r="E367" s="1" t="s">
        <v>37</v>
      </c>
      <c r="F367" s="1" t="n">
        <v>800</v>
      </c>
      <c r="G367" s="1" t="n">
        <v>800</v>
      </c>
      <c r="I367" s="1" t="s">
        <v>15</v>
      </c>
      <c r="L367" s="1" t="str">
        <f aca="false">IFERROR(G367/J367,"")</f>
        <v/>
      </c>
    </row>
    <row r="368" customFormat="false" ht="13.8" hidden="false" customHeight="false" outlineLevel="0" collapsed="false">
      <c r="A368" s="5" t="s">
        <v>17</v>
      </c>
      <c r="B368" s="6" t="n">
        <v>45748</v>
      </c>
      <c r="C368" s="7" t="n">
        <v>45761</v>
      </c>
      <c r="D368" s="7" t="n">
        <v>45762</v>
      </c>
      <c r="E368" s="5" t="s">
        <v>138</v>
      </c>
      <c r="F368" s="8" t="n">
        <v>1000</v>
      </c>
      <c r="G368" s="8" t="n">
        <v>1000</v>
      </c>
      <c r="H368" s="9"/>
      <c r="I368" s="9" t="s">
        <v>139</v>
      </c>
      <c r="K368" s="9"/>
      <c r="L368" s="1" t="str">
        <f aca="false">IFERROR(G368/J368,"")</f>
        <v/>
      </c>
    </row>
    <row r="369" customFormat="false" ht="13.8" hidden="false" customHeight="false" outlineLevel="0" collapsed="false">
      <c r="A369" s="5" t="s">
        <v>17</v>
      </c>
      <c r="B369" s="6" t="n">
        <v>45748</v>
      </c>
      <c r="C369" s="7" t="n">
        <v>45751</v>
      </c>
      <c r="D369" s="7" t="n">
        <v>45762</v>
      </c>
      <c r="E369" s="5" t="s">
        <v>140</v>
      </c>
      <c r="F369" s="8" t="n">
        <v>3281.53</v>
      </c>
      <c r="G369" s="8" t="n">
        <v>3281.53</v>
      </c>
      <c r="H369" s="9"/>
      <c r="I369" s="9" t="s">
        <v>139</v>
      </c>
      <c r="K369" s="9"/>
      <c r="L369" s="1" t="str">
        <f aca="false">IFERROR(G369/J369,"")</f>
        <v/>
      </c>
    </row>
    <row r="370" customFormat="false" ht="13.8" hidden="false" customHeight="false" outlineLevel="0" collapsed="false">
      <c r="A370" s="1" t="s">
        <v>17</v>
      </c>
      <c r="B370" s="1" t="s">
        <v>120</v>
      </c>
      <c r="C370" s="2" t="n">
        <v>45733</v>
      </c>
      <c r="D370" s="2" t="n">
        <v>45763</v>
      </c>
      <c r="E370" s="1" t="s">
        <v>31</v>
      </c>
      <c r="F370" s="1" t="n">
        <v>9211.4</v>
      </c>
      <c r="G370" s="3" t="n">
        <v>9211.4</v>
      </c>
      <c r="H370" s="3"/>
      <c r="I370" s="1" t="s">
        <v>19</v>
      </c>
      <c r="L370" s="1" t="str">
        <f aca="false">IFERROR(G370/J370,"")</f>
        <v/>
      </c>
    </row>
    <row r="371" customFormat="false" ht="13.8" hidden="false" customHeight="false" outlineLevel="0" collapsed="false">
      <c r="A371" s="1" t="s">
        <v>12</v>
      </c>
      <c r="B371" s="1" t="s">
        <v>120</v>
      </c>
      <c r="C371" s="2" t="n">
        <v>45733</v>
      </c>
      <c r="D371" s="2" t="n">
        <v>45763</v>
      </c>
      <c r="E371" s="1" t="s">
        <v>31</v>
      </c>
      <c r="F371" s="1" t="n">
        <v>7369.12</v>
      </c>
      <c r="G371" s="3" t="n">
        <v>7369.12</v>
      </c>
      <c r="H371" s="3"/>
      <c r="I371" s="1" t="s">
        <v>19</v>
      </c>
      <c r="L371" s="1" t="str">
        <f aca="false">IFERROR(G371/J371,"")</f>
        <v/>
      </c>
    </row>
    <row r="372" customFormat="false" ht="13.8" hidden="false" customHeight="false" outlineLevel="0" collapsed="false">
      <c r="A372" s="1" t="s">
        <v>17</v>
      </c>
      <c r="B372" s="1" t="s">
        <v>120</v>
      </c>
      <c r="C372" s="2" t="n">
        <v>45736</v>
      </c>
      <c r="D372" s="2" t="n">
        <v>45765</v>
      </c>
      <c r="E372" s="1" t="s">
        <v>27</v>
      </c>
      <c r="F372" s="1" t="n">
        <v>3960</v>
      </c>
      <c r="G372" s="3" t="n">
        <v>3960</v>
      </c>
      <c r="H372" s="3"/>
      <c r="I372" s="1" t="s">
        <v>15</v>
      </c>
      <c r="L372" s="1" t="str">
        <f aca="false">IFERROR(G372/J372,"")</f>
        <v/>
      </c>
    </row>
    <row r="373" customFormat="false" ht="13.8" hidden="false" customHeight="false" outlineLevel="0" collapsed="false">
      <c r="A373" s="5" t="s">
        <v>141</v>
      </c>
      <c r="B373" s="6" t="n">
        <v>45748</v>
      </c>
      <c r="C373" s="7" t="n">
        <v>45748</v>
      </c>
      <c r="D373" s="7" t="n">
        <v>45766</v>
      </c>
      <c r="E373" s="5" t="s">
        <v>142</v>
      </c>
      <c r="F373" s="8" t="n">
        <v>500</v>
      </c>
      <c r="G373" s="8" t="n">
        <v>500</v>
      </c>
      <c r="H373" s="9"/>
      <c r="I373" s="9"/>
      <c r="K373" s="9"/>
      <c r="L373" s="1" t="str">
        <f aca="false">IFERROR(G373/J373,"")</f>
        <v/>
      </c>
    </row>
    <row r="374" customFormat="false" ht="13.8" hidden="false" customHeight="false" outlineLevel="0" collapsed="false">
      <c r="A374" s="5" t="s">
        <v>141</v>
      </c>
      <c r="B374" s="6" t="n">
        <v>45748</v>
      </c>
      <c r="C374" s="7" t="n">
        <v>45748</v>
      </c>
      <c r="D374" s="7" t="n">
        <v>45766</v>
      </c>
      <c r="E374" s="5" t="s">
        <v>143</v>
      </c>
      <c r="F374" s="8" t="n">
        <v>600</v>
      </c>
      <c r="G374" s="8" t="n">
        <v>600</v>
      </c>
      <c r="H374" s="9"/>
      <c r="I374" s="9"/>
      <c r="K374" s="9"/>
      <c r="L374" s="1" t="str">
        <f aca="false">IFERROR(G374/J374,"")</f>
        <v/>
      </c>
    </row>
    <row r="375" customFormat="false" ht="13.8" hidden="false" customHeight="false" outlineLevel="0" collapsed="false">
      <c r="A375" s="5" t="s">
        <v>141</v>
      </c>
      <c r="B375" s="6" t="n">
        <v>45748</v>
      </c>
      <c r="C375" s="7" t="n">
        <v>45748</v>
      </c>
      <c r="D375" s="7" t="n">
        <v>45766</v>
      </c>
      <c r="E375" s="5" t="s">
        <v>144</v>
      </c>
      <c r="F375" s="8" t="n">
        <v>600</v>
      </c>
      <c r="G375" s="8" t="n">
        <v>600</v>
      </c>
      <c r="H375" s="9"/>
      <c r="I375" s="9"/>
      <c r="K375" s="9"/>
      <c r="L375" s="1" t="str">
        <f aca="false">IFERROR(G375/J375,"")</f>
        <v/>
      </c>
    </row>
    <row r="376" customFormat="false" ht="13.8" hidden="false" customHeight="false" outlineLevel="0" collapsed="false">
      <c r="A376" s="5" t="s">
        <v>141</v>
      </c>
      <c r="B376" s="6" t="n">
        <v>45748</v>
      </c>
      <c r="C376" s="7" t="n">
        <v>45748</v>
      </c>
      <c r="D376" s="7" t="n">
        <v>45766</v>
      </c>
      <c r="E376" s="5" t="s">
        <v>145</v>
      </c>
      <c r="F376" s="8" t="n">
        <v>600</v>
      </c>
      <c r="G376" s="8" t="n">
        <v>600</v>
      </c>
      <c r="H376" s="9"/>
      <c r="I376" s="9"/>
      <c r="K376" s="9"/>
      <c r="L376" s="1" t="str">
        <f aca="false">IFERROR(G376/J376,"")</f>
        <v/>
      </c>
    </row>
    <row r="377" customFormat="false" ht="13.8" hidden="false" customHeight="false" outlineLevel="0" collapsed="false">
      <c r="A377" s="5" t="s">
        <v>141</v>
      </c>
      <c r="B377" s="6" t="n">
        <v>45748</v>
      </c>
      <c r="C377" s="7" t="n">
        <v>45751</v>
      </c>
      <c r="D377" s="7" t="n">
        <v>45766</v>
      </c>
      <c r="E377" s="5" t="s">
        <v>146</v>
      </c>
      <c r="F377" s="8" t="n">
        <v>1000</v>
      </c>
      <c r="G377" s="8" t="n">
        <v>1000</v>
      </c>
      <c r="H377" s="9"/>
      <c r="I377" s="9"/>
      <c r="K377" s="9"/>
      <c r="L377" s="1" t="str">
        <f aca="false">IFERROR(G377/J377,"")</f>
        <v/>
      </c>
    </row>
    <row r="378" customFormat="false" ht="13.8" hidden="false" customHeight="false" outlineLevel="0" collapsed="false">
      <c r="A378" s="1" t="s">
        <v>17</v>
      </c>
      <c r="B378" s="1" t="s">
        <v>129</v>
      </c>
      <c r="C378" s="2" t="n">
        <v>45765</v>
      </c>
      <c r="D378" s="2" t="n">
        <v>45771</v>
      </c>
      <c r="E378" s="1" t="s">
        <v>33</v>
      </c>
      <c r="F378" s="1" t="n">
        <v>3281.53</v>
      </c>
      <c r="G378" s="3" t="n">
        <v>3281.53</v>
      </c>
      <c r="H378" s="3"/>
      <c r="I378" s="1" t="s">
        <v>15</v>
      </c>
      <c r="L378" s="1" t="str">
        <f aca="false">IFERROR(G378/J378,"")</f>
        <v/>
      </c>
    </row>
    <row r="379" customFormat="false" ht="13.8" hidden="false" customHeight="false" outlineLevel="0" collapsed="false">
      <c r="A379" s="5" t="s">
        <v>17</v>
      </c>
      <c r="B379" s="6" t="n">
        <v>45748</v>
      </c>
      <c r="C379" s="7" t="n">
        <v>45758</v>
      </c>
      <c r="D379" s="7" t="n">
        <v>45771</v>
      </c>
      <c r="E379" s="5" t="s">
        <v>147</v>
      </c>
      <c r="F379" s="8" t="n">
        <v>2441.25</v>
      </c>
      <c r="G379" s="8" t="n">
        <v>1953</v>
      </c>
      <c r="H379" s="9" t="s">
        <v>148</v>
      </c>
      <c r="I379" s="9" t="s">
        <v>127</v>
      </c>
      <c r="K379" s="9" t="s">
        <v>149</v>
      </c>
      <c r="L379" s="1" t="str">
        <f aca="false">IFERROR(G379/J379,"")</f>
        <v/>
      </c>
    </row>
    <row r="380" customFormat="false" ht="13.8" hidden="false" customHeight="false" outlineLevel="0" collapsed="false">
      <c r="A380" s="5" t="s">
        <v>12</v>
      </c>
      <c r="B380" s="6" t="n">
        <v>45748</v>
      </c>
      <c r="C380" s="7" t="n">
        <v>45758</v>
      </c>
      <c r="D380" s="7" t="n">
        <v>45771</v>
      </c>
      <c r="E380" s="5" t="s">
        <v>147</v>
      </c>
      <c r="F380" s="8" t="n">
        <v>2639.99</v>
      </c>
      <c r="G380" s="8" t="n">
        <v>2111.992</v>
      </c>
      <c r="H380" s="9" t="s">
        <v>134</v>
      </c>
      <c r="I380" s="9" t="s">
        <v>127</v>
      </c>
      <c r="K380" s="9" t="s">
        <v>149</v>
      </c>
      <c r="L380" s="1" t="str">
        <f aca="false">IFERROR(G380/J380,"")</f>
        <v/>
      </c>
    </row>
    <row r="381" customFormat="false" ht="13.8" hidden="false" customHeight="false" outlineLevel="0" collapsed="false">
      <c r="A381" s="5" t="s">
        <v>17</v>
      </c>
      <c r="B381" s="6" t="n">
        <v>45748</v>
      </c>
      <c r="C381" s="7" t="n">
        <v>45751</v>
      </c>
      <c r="D381" s="7" t="n">
        <v>45771</v>
      </c>
      <c r="E381" s="5" t="s">
        <v>140</v>
      </c>
      <c r="F381" s="8" t="n">
        <v>3281.53</v>
      </c>
      <c r="G381" s="8" t="n">
        <v>3281.53</v>
      </c>
      <c r="H381" s="9"/>
      <c r="I381" s="9" t="s">
        <v>139</v>
      </c>
      <c r="K381" s="9"/>
      <c r="L381" s="1" t="str">
        <f aca="false">IFERROR(G381/J381,"")</f>
        <v/>
      </c>
    </row>
    <row r="382" customFormat="false" ht="13.8" hidden="false" customHeight="false" outlineLevel="0" collapsed="false">
      <c r="A382" s="5" t="s">
        <v>17</v>
      </c>
      <c r="B382" s="6" t="n">
        <v>45748</v>
      </c>
      <c r="C382" s="7" t="n">
        <v>45751</v>
      </c>
      <c r="D382" s="7" t="n">
        <v>45772</v>
      </c>
      <c r="E382" s="5" t="s">
        <v>150</v>
      </c>
      <c r="F382" s="8" t="n">
        <v>2109</v>
      </c>
      <c r="G382" s="8" t="n">
        <v>1687.2</v>
      </c>
      <c r="H382" s="9"/>
      <c r="I382" s="9"/>
      <c r="K382" s="9" t="s">
        <v>151</v>
      </c>
      <c r="L382" s="1" t="str">
        <f aca="false">IFERROR(G382/J382,"")</f>
        <v/>
      </c>
    </row>
    <row r="383" customFormat="false" ht="13.8" hidden="false" customHeight="false" outlineLevel="0" collapsed="false">
      <c r="A383" s="5" t="s">
        <v>17</v>
      </c>
      <c r="B383" s="6" t="n">
        <v>45748</v>
      </c>
      <c r="C383" s="7" t="n">
        <v>45768</v>
      </c>
      <c r="D383" s="7" t="n">
        <v>45772</v>
      </c>
      <c r="E383" s="5" t="s">
        <v>147</v>
      </c>
      <c r="F383" s="8" t="n">
        <v>1562.4</v>
      </c>
      <c r="G383" s="8" t="n">
        <v>1249.92</v>
      </c>
      <c r="H383" s="9" t="s">
        <v>148</v>
      </c>
      <c r="I383" s="9" t="s">
        <v>152</v>
      </c>
      <c r="K383" s="9" t="s">
        <v>153</v>
      </c>
      <c r="L383" s="1" t="str">
        <f aca="false">IFERROR(G383/J383,"")</f>
        <v/>
      </c>
    </row>
    <row r="384" customFormat="false" ht="13.8" hidden="false" customHeight="false" outlineLevel="0" collapsed="false">
      <c r="A384" s="5" t="s">
        <v>12</v>
      </c>
      <c r="B384" s="6" t="n">
        <v>45748</v>
      </c>
      <c r="C384" s="7" t="n">
        <v>45768</v>
      </c>
      <c r="D384" s="7" t="n">
        <v>45772</v>
      </c>
      <c r="E384" s="5" t="s">
        <v>147</v>
      </c>
      <c r="F384" s="8" t="n">
        <v>1689.59</v>
      </c>
      <c r="G384" s="8" t="n">
        <v>1351.672</v>
      </c>
      <c r="H384" s="9" t="s">
        <v>134</v>
      </c>
      <c r="I384" s="9" t="s">
        <v>127</v>
      </c>
      <c r="K384" s="9" t="s">
        <v>153</v>
      </c>
      <c r="L384" s="1" t="str">
        <f aca="false">IFERROR(G384/J384,"")</f>
        <v/>
      </c>
    </row>
    <row r="385" customFormat="false" ht="13.8" hidden="false" customHeight="false" outlineLevel="0" collapsed="false">
      <c r="A385" s="1" t="s">
        <v>12</v>
      </c>
      <c r="B385" s="1" t="s">
        <v>129</v>
      </c>
      <c r="C385" s="2" t="n">
        <v>45773</v>
      </c>
      <c r="D385" s="2" t="n">
        <v>45773</v>
      </c>
      <c r="E385" s="1" t="s">
        <v>99</v>
      </c>
      <c r="F385" s="1" t="n">
        <v>500</v>
      </c>
      <c r="G385" s="1" t="n">
        <v>500</v>
      </c>
      <c r="I385" s="1" t="s">
        <v>19</v>
      </c>
      <c r="L385" s="1" t="str">
        <f aca="false">IFERROR(G385/J385,"")</f>
        <v/>
      </c>
    </row>
    <row r="386" customFormat="false" ht="13.8" hidden="false" customHeight="false" outlineLevel="0" collapsed="false">
      <c r="A386" s="10" t="s">
        <v>12</v>
      </c>
      <c r="B386" s="6" t="n">
        <v>45748</v>
      </c>
      <c r="C386" s="7" t="n">
        <v>45772</v>
      </c>
      <c r="D386" s="7" t="n">
        <v>45774</v>
      </c>
      <c r="E386" s="5" t="s">
        <v>154</v>
      </c>
      <c r="F386" s="8" t="n">
        <v>500</v>
      </c>
      <c r="G386" s="8" t="n">
        <v>500</v>
      </c>
      <c r="H386" s="9"/>
      <c r="I386" s="9" t="s">
        <v>155</v>
      </c>
      <c r="K386" s="9"/>
      <c r="L386" s="1" t="str">
        <f aca="false">IFERROR(G386/J386,"")</f>
        <v/>
      </c>
    </row>
    <row r="387" customFormat="false" ht="13.8" hidden="false" customHeight="false" outlineLevel="0" collapsed="false">
      <c r="A387" s="10" t="s">
        <v>12</v>
      </c>
      <c r="B387" s="6" t="n">
        <v>45748</v>
      </c>
      <c r="C387" s="7" t="n">
        <v>45768</v>
      </c>
      <c r="D387" s="7" t="n">
        <v>45775</v>
      </c>
      <c r="E387" s="5" t="s">
        <v>130</v>
      </c>
      <c r="F387" s="8" t="n">
        <v>713.47</v>
      </c>
      <c r="G387" s="8" t="n">
        <v>570.776</v>
      </c>
      <c r="H387" s="9" t="s">
        <v>131</v>
      </c>
      <c r="I387" s="9" t="s">
        <v>132</v>
      </c>
      <c r="K387" s="9" t="s">
        <v>153</v>
      </c>
      <c r="L387" s="1" t="str">
        <f aca="false">IFERROR(G387/J387,"")</f>
        <v/>
      </c>
    </row>
    <row r="388" customFormat="false" ht="13.8" hidden="false" customHeight="false" outlineLevel="0" collapsed="false">
      <c r="A388" s="5" t="s">
        <v>12</v>
      </c>
      <c r="B388" s="6" t="n">
        <v>45748</v>
      </c>
      <c r="C388" s="7" t="n">
        <v>45768</v>
      </c>
      <c r="D388" s="7" t="n">
        <v>45775</v>
      </c>
      <c r="E388" s="5" t="s">
        <v>130</v>
      </c>
      <c r="F388" s="8" t="n">
        <v>1583.99</v>
      </c>
      <c r="G388" s="8" t="n">
        <v>1267.192</v>
      </c>
      <c r="H388" s="9" t="s">
        <v>134</v>
      </c>
      <c r="I388" s="9" t="s">
        <v>127</v>
      </c>
      <c r="K388" s="9" t="s">
        <v>153</v>
      </c>
      <c r="L388" s="1" t="str">
        <f aca="false">IFERROR(G388/J388,"")</f>
        <v/>
      </c>
    </row>
    <row r="389" customFormat="false" ht="13.8" hidden="false" customHeight="false" outlineLevel="0" collapsed="false">
      <c r="A389" s="1" t="s">
        <v>17</v>
      </c>
      <c r="B389" s="1" t="s">
        <v>129</v>
      </c>
      <c r="C389" s="2" t="n">
        <v>45748</v>
      </c>
      <c r="D389" s="2" t="n">
        <v>45776</v>
      </c>
      <c r="E389" s="1" t="s">
        <v>125</v>
      </c>
      <c r="F389" s="1" t="n">
        <v>800</v>
      </c>
      <c r="G389" s="1" t="n">
        <v>800</v>
      </c>
      <c r="I389" s="1" t="s">
        <v>15</v>
      </c>
      <c r="L389" s="1" t="str">
        <f aca="false">IFERROR(G389/J389,"")</f>
        <v/>
      </c>
    </row>
    <row r="390" customFormat="false" ht="13.8" hidden="false" customHeight="false" outlineLevel="0" collapsed="false">
      <c r="A390" s="5" t="s">
        <v>17</v>
      </c>
      <c r="B390" s="6" t="n">
        <v>45748</v>
      </c>
      <c r="C390" s="7" t="n">
        <v>45743</v>
      </c>
      <c r="D390" s="7" t="n">
        <v>45776</v>
      </c>
      <c r="E390" s="5" t="s">
        <v>156</v>
      </c>
      <c r="F390" s="8" t="n">
        <v>1000</v>
      </c>
      <c r="G390" s="8" t="n">
        <v>800</v>
      </c>
      <c r="H390" s="9"/>
      <c r="I390" s="9" t="s">
        <v>139</v>
      </c>
      <c r="K390" s="9" t="s">
        <v>157</v>
      </c>
      <c r="L390" s="1" t="str">
        <f aca="false">IFERROR(G390/J390,"")</f>
        <v/>
      </c>
    </row>
    <row r="391" customFormat="false" ht="13.8" hidden="false" customHeight="false" outlineLevel="0" collapsed="false">
      <c r="A391" s="5" t="s">
        <v>12</v>
      </c>
      <c r="B391" s="6" t="n">
        <v>45778</v>
      </c>
      <c r="C391" s="11" t="n">
        <v>45722</v>
      </c>
      <c r="D391" s="11" t="n">
        <v>45776</v>
      </c>
      <c r="E391" s="5" t="s">
        <v>158</v>
      </c>
      <c r="F391" s="8" t="n">
        <v>3334</v>
      </c>
      <c r="G391" s="8" t="n">
        <v>3334</v>
      </c>
      <c r="H391" s="9"/>
      <c r="I391" s="1" t="s">
        <v>139</v>
      </c>
      <c r="J391" s="12" t="n">
        <v>50</v>
      </c>
      <c r="L391" s="1" t="n">
        <f aca="false">IFERROR(G391/J391,"")</f>
        <v>66.68</v>
      </c>
    </row>
    <row r="392" customFormat="false" ht="13.8" hidden="false" customHeight="false" outlineLevel="0" collapsed="false">
      <c r="A392" s="1" t="s">
        <v>50</v>
      </c>
      <c r="B392" s="1" t="s">
        <v>129</v>
      </c>
      <c r="C392" s="2" t="n">
        <v>45748</v>
      </c>
      <c r="D392" s="2" t="n">
        <v>45777</v>
      </c>
      <c r="E392" s="1" t="s">
        <v>80</v>
      </c>
      <c r="F392" s="1" t="n">
        <v>1000</v>
      </c>
      <c r="G392" s="3" t="n">
        <v>1000</v>
      </c>
      <c r="H392" s="3"/>
      <c r="I392" s="1" t="s">
        <v>19</v>
      </c>
      <c r="L392" s="1" t="str">
        <f aca="false">IFERROR(G392/J392,"")</f>
        <v/>
      </c>
    </row>
    <row r="393" customFormat="false" ht="13.8" hidden="false" customHeight="false" outlineLevel="0" collapsed="false">
      <c r="A393" s="1" t="s">
        <v>50</v>
      </c>
      <c r="B393" s="1" t="s">
        <v>129</v>
      </c>
      <c r="C393" s="2" t="n">
        <v>45748</v>
      </c>
      <c r="D393" s="2" t="n">
        <v>45777</v>
      </c>
      <c r="E393" s="1" t="s">
        <v>110</v>
      </c>
      <c r="F393" s="1" t="n">
        <v>11842.8</v>
      </c>
      <c r="G393" s="3" t="n">
        <v>11842.8</v>
      </c>
      <c r="H393" s="3"/>
      <c r="I393" s="1" t="s">
        <v>19</v>
      </c>
      <c r="L393" s="1" t="str">
        <f aca="false">IFERROR(G393/J393,"")</f>
        <v/>
      </c>
    </row>
    <row r="394" customFormat="false" ht="13.8" hidden="false" customHeight="false" outlineLevel="0" collapsed="false">
      <c r="A394" s="1" t="s">
        <v>17</v>
      </c>
      <c r="B394" s="1" t="s">
        <v>129</v>
      </c>
      <c r="C394" s="2" t="n">
        <v>45748</v>
      </c>
      <c r="D394" s="2" t="n">
        <v>45777</v>
      </c>
      <c r="E394" s="1" t="s">
        <v>48</v>
      </c>
      <c r="F394" s="1" t="n">
        <v>3049.2</v>
      </c>
      <c r="G394" s="3" t="n">
        <v>3049.2</v>
      </c>
      <c r="H394" s="3"/>
      <c r="I394" s="1" t="s">
        <v>15</v>
      </c>
      <c r="L394" s="1" t="str">
        <f aca="false">IFERROR(G394/J394,"")</f>
        <v/>
      </c>
    </row>
    <row r="395" customFormat="false" ht="13.8" hidden="false" customHeight="false" outlineLevel="0" collapsed="false">
      <c r="A395" s="1" t="s">
        <v>17</v>
      </c>
      <c r="B395" s="1" t="s">
        <v>129</v>
      </c>
      <c r="C395" s="2" t="n">
        <v>45748</v>
      </c>
      <c r="D395" s="2" t="n">
        <v>45777</v>
      </c>
      <c r="E395" s="1" t="s">
        <v>46</v>
      </c>
      <c r="F395" s="1" t="n">
        <v>2268</v>
      </c>
      <c r="G395" s="3" t="n">
        <v>2268</v>
      </c>
      <c r="H395" s="3"/>
      <c r="I395" s="1" t="s">
        <v>15</v>
      </c>
      <c r="L395" s="1" t="str">
        <f aca="false">IFERROR(G395/J395,"")</f>
        <v/>
      </c>
    </row>
    <row r="396" customFormat="false" ht="13.8" hidden="false" customHeight="false" outlineLevel="0" collapsed="false">
      <c r="A396" s="1" t="s">
        <v>17</v>
      </c>
      <c r="B396" s="1" t="s">
        <v>129</v>
      </c>
      <c r="C396" s="2" t="n">
        <v>45748</v>
      </c>
      <c r="D396" s="2" t="n">
        <v>45777</v>
      </c>
      <c r="E396" s="1" t="s">
        <v>119</v>
      </c>
      <c r="F396" s="1" t="n">
        <v>2160</v>
      </c>
      <c r="G396" s="3" t="n">
        <v>2160</v>
      </c>
      <c r="H396" s="3"/>
      <c r="I396" s="1" t="s">
        <v>15</v>
      </c>
      <c r="L396" s="1" t="str">
        <f aca="false">IFERROR(G396/J396,"")</f>
        <v/>
      </c>
    </row>
    <row r="397" customFormat="false" ht="13.8" hidden="false" customHeight="false" outlineLevel="0" collapsed="false">
      <c r="A397" s="1" t="s">
        <v>17</v>
      </c>
      <c r="B397" s="1" t="s">
        <v>129</v>
      </c>
      <c r="C397" s="2" t="n">
        <v>45748</v>
      </c>
      <c r="D397" s="2" t="n">
        <v>45777</v>
      </c>
      <c r="E397" s="1" t="s">
        <v>159</v>
      </c>
      <c r="F397" s="1" t="n">
        <v>3000</v>
      </c>
      <c r="G397" s="3" t="n">
        <v>3000</v>
      </c>
      <c r="H397" s="3"/>
      <c r="I397" s="1" t="s">
        <v>15</v>
      </c>
      <c r="L397" s="1" t="str">
        <f aca="false">IFERROR(G397/J397,"")</f>
        <v/>
      </c>
    </row>
    <row r="398" customFormat="false" ht="13.8" hidden="false" customHeight="false" outlineLevel="0" collapsed="false">
      <c r="A398" s="1" t="s">
        <v>17</v>
      </c>
      <c r="B398" s="1" t="s">
        <v>129</v>
      </c>
      <c r="C398" s="2" t="n">
        <v>45748</v>
      </c>
      <c r="D398" s="2" t="n">
        <v>45777</v>
      </c>
      <c r="E398" s="1" t="s">
        <v>118</v>
      </c>
      <c r="F398" s="1" t="n">
        <v>3292.85</v>
      </c>
      <c r="G398" s="3" t="n">
        <v>3292.85</v>
      </c>
      <c r="H398" s="3"/>
      <c r="I398" s="1" t="s">
        <v>19</v>
      </c>
      <c r="L398" s="1" t="str">
        <f aca="false">IFERROR(G398/J398,"")</f>
        <v/>
      </c>
    </row>
    <row r="399" customFormat="false" ht="13.8" hidden="false" customHeight="false" outlineLevel="0" collapsed="false">
      <c r="A399" s="1" t="s">
        <v>12</v>
      </c>
      <c r="B399" s="1" t="s">
        <v>129</v>
      </c>
      <c r="C399" s="2" t="n">
        <v>45748</v>
      </c>
      <c r="D399" s="2" t="n">
        <v>45777</v>
      </c>
      <c r="E399" s="1" t="s">
        <v>110</v>
      </c>
      <c r="F399" s="1" t="n">
        <v>6134.4</v>
      </c>
      <c r="G399" s="3" t="n">
        <v>6134.4</v>
      </c>
      <c r="H399" s="3"/>
      <c r="I399" s="1" t="s">
        <v>19</v>
      </c>
      <c r="L399" s="1" t="str">
        <f aca="false">IFERROR(G399/J399,"")</f>
        <v/>
      </c>
    </row>
    <row r="400" customFormat="false" ht="13.8" hidden="false" customHeight="false" outlineLevel="0" collapsed="false">
      <c r="A400" s="1" t="s">
        <v>17</v>
      </c>
      <c r="B400" s="1" t="s">
        <v>129</v>
      </c>
      <c r="C400" s="2" t="n">
        <v>45749</v>
      </c>
      <c r="D400" s="2" t="n">
        <v>45777</v>
      </c>
      <c r="E400" s="1" t="s">
        <v>160</v>
      </c>
      <c r="F400" s="1" t="n">
        <v>2128</v>
      </c>
      <c r="G400" s="3" t="n">
        <v>2128</v>
      </c>
      <c r="H400" s="3"/>
      <c r="I400" s="1" t="s">
        <v>15</v>
      </c>
      <c r="L400" s="1" t="str">
        <f aca="false">IFERROR(G400/J400,"")</f>
        <v/>
      </c>
    </row>
    <row r="401" customFormat="false" ht="13.8" hidden="false" customHeight="false" outlineLevel="0" collapsed="false">
      <c r="A401" s="1" t="s">
        <v>12</v>
      </c>
      <c r="B401" s="1" t="s">
        <v>129</v>
      </c>
      <c r="C401" s="2" t="n">
        <v>45749</v>
      </c>
      <c r="D401" s="2" t="n">
        <v>45777</v>
      </c>
      <c r="E401" s="1" t="s">
        <v>109</v>
      </c>
      <c r="F401" s="1" t="n">
        <v>2700</v>
      </c>
      <c r="G401" s="3" t="n">
        <v>2700</v>
      </c>
      <c r="H401" s="3"/>
      <c r="I401" s="1" t="s">
        <v>19</v>
      </c>
      <c r="L401" s="1" t="str">
        <f aca="false">IFERROR(G401/J401,"")</f>
        <v/>
      </c>
    </row>
    <row r="402" customFormat="false" ht="13.8" hidden="false" customHeight="false" outlineLevel="0" collapsed="false">
      <c r="A402" s="1" t="s">
        <v>12</v>
      </c>
      <c r="B402" s="1" t="s">
        <v>129</v>
      </c>
      <c r="C402" s="2" t="n">
        <v>45751</v>
      </c>
      <c r="D402" s="2" t="n">
        <v>45777</v>
      </c>
      <c r="E402" s="1" t="s">
        <v>72</v>
      </c>
      <c r="F402" s="3" t="n">
        <v>4920</v>
      </c>
      <c r="G402" s="3" t="n">
        <v>4920</v>
      </c>
      <c r="H402" s="9" t="s">
        <v>137</v>
      </c>
      <c r="I402" s="1" t="s">
        <v>15</v>
      </c>
      <c r="L402" s="1" t="str">
        <f aca="false">IFERROR(G402/J402,"")</f>
        <v/>
      </c>
    </row>
    <row r="403" customFormat="false" ht="13.8" hidden="false" customHeight="false" outlineLevel="0" collapsed="false">
      <c r="A403" s="1" t="s">
        <v>17</v>
      </c>
      <c r="B403" s="1" t="s">
        <v>129</v>
      </c>
      <c r="C403" s="2" t="n">
        <v>45758</v>
      </c>
      <c r="D403" s="2" t="n">
        <v>45777</v>
      </c>
      <c r="E403" s="1" t="s">
        <v>161</v>
      </c>
      <c r="F403" s="1" t="n">
        <v>1920</v>
      </c>
      <c r="G403" s="3" t="n">
        <v>1920</v>
      </c>
      <c r="H403" s="3"/>
      <c r="I403" s="1" t="s">
        <v>15</v>
      </c>
      <c r="L403" s="1" t="str">
        <f aca="false">IFERROR(G403/J403,"")</f>
        <v/>
      </c>
    </row>
    <row r="404" customFormat="false" ht="13.8" hidden="false" customHeight="false" outlineLevel="0" collapsed="false">
      <c r="A404" s="1" t="s">
        <v>17</v>
      </c>
      <c r="B404" s="1" t="s">
        <v>129</v>
      </c>
      <c r="C404" s="2" t="n">
        <v>45761</v>
      </c>
      <c r="D404" s="2" t="n">
        <v>45777</v>
      </c>
      <c r="E404" s="1" t="s">
        <v>162</v>
      </c>
      <c r="F404" s="1" t="n">
        <v>1760</v>
      </c>
      <c r="G404" s="3" t="n">
        <v>1760</v>
      </c>
      <c r="H404" s="3"/>
      <c r="I404" s="1" t="s">
        <v>15</v>
      </c>
      <c r="L404" s="1" t="str">
        <f aca="false">IFERROR(G404/J404,"")</f>
        <v/>
      </c>
    </row>
    <row r="405" customFormat="false" ht="13.8" hidden="false" customHeight="false" outlineLevel="0" collapsed="false">
      <c r="A405" s="1" t="s">
        <v>12</v>
      </c>
      <c r="B405" s="1" t="s">
        <v>129</v>
      </c>
      <c r="C405" s="2" t="n">
        <v>45761</v>
      </c>
      <c r="D405" s="2" t="n">
        <v>45777</v>
      </c>
      <c r="E405" s="1" t="s">
        <v>21</v>
      </c>
      <c r="F405" s="3" t="n">
        <v>6303.8</v>
      </c>
      <c r="G405" s="3" t="n">
        <v>6303.8</v>
      </c>
      <c r="H405" s="3"/>
      <c r="I405" s="1" t="s">
        <v>15</v>
      </c>
      <c r="L405" s="1" t="str">
        <f aca="false">IFERROR(G405/J405,"")</f>
        <v/>
      </c>
    </row>
    <row r="406" customFormat="false" ht="13.8" hidden="false" customHeight="false" outlineLevel="0" collapsed="false">
      <c r="A406" s="1" t="s">
        <v>17</v>
      </c>
      <c r="B406" s="1" t="s">
        <v>129</v>
      </c>
      <c r="C406" s="2" t="n">
        <v>45762</v>
      </c>
      <c r="D406" s="2" t="n">
        <v>45777</v>
      </c>
      <c r="E406" s="1" t="s">
        <v>70</v>
      </c>
      <c r="F406" s="1" t="n">
        <v>2000</v>
      </c>
      <c r="G406" s="3" t="n">
        <v>2000</v>
      </c>
      <c r="H406" s="3"/>
      <c r="I406" s="1" t="s">
        <v>15</v>
      </c>
      <c r="L406" s="1" t="str">
        <f aca="false">IFERROR(G406/J406,"")</f>
        <v/>
      </c>
    </row>
    <row r="407" customFormat="false" ht="13.8" hidden="false" customHeight="false" outlineLevel="0" collapsed="false">
      <c r="A407" s="1" t="s">
        <v>50</v>
      </c>
      <c r="B407" s="1" t="s">
        <v>129</v>
      </c>
      <c r="C407" s="2" t="n">
        <v>45763</v>
      </c>
      <c r="D407" s="2" t="n">
        <v>45777</v>
      </c>
      <c r="E407" s="1" t="s">
        <v>54</v>
      </c>
      <c r="F407" s="1" t="n">
        <v>1750</v>
      </c>
      <c r="G407" s="3" t="n">
        <v>1750</v>
      </c>
      <c r="H407" s="3"/>
      <c r="I407" s="1" t="s">
        <v>15</v>
      </c>
      <c r="L407" s="1" t="str">
        <f aca="false">IFERROR(G407/J407,"")</f>
        <v/>
      </c>
    </row>
    <row r="408" customFormat="false" ht="13.8" hidden="false" customHeight="false" outlineLevel="0" collapsed="false">
      <c r="A408" s="1" t="s">
        <v>17</v>
      </c>
      <c r="B408" s="1" t="s">
        <v>129</v>
      </c>
      <c r="C408" s="2" t="n">
        <v>45768</v>
      </c>
      <c r="D408" s="2" t="n">
        <v>45777</v>
      </c>
      <c r="E408" s="1" t="s">
        <v>112</v>
      </c>
      <c r="F408" s="1" t="n">
        <v>1532.16</v>
      </c>
      <c r="G408" s="3" t="n">
        <v>1532.16</v>
      </c>
      <c r="H408" s="3"/>
      <c r="I408" s="1" t="s">
        <v>15</v>
      </c>
      <c r="L408" s="1" t="str">
        <f aca="false">IFERROR(G408/J408,"")</f>
        <v/>
      </c>
    </row>
    <row r="409" customFormat="false" ht="13.8" hidden="false" customHeight="false" outlineLevel="0" collapsed="false">
      <c r="A409" s="1" t="s">
        <v>17</v>
      </c>
      <c r="B409" s="1" t="s">
        <v>129</v>
      </c>
      <c r="C409" s="2" t="n">
        <v>45769</v>
      </c>
      <c r="D409" s="2" t="n">
        <v>45777</v>
      </c>
      <c r="E409" s="1" t="s">
        <v>163</v>
      </c>
      <c r="F409" s="1" t="n">
        <v>3200</v>
      </c>
      <c r="G409" s="3" t="n">
        <v>3200</v>
      </c>
      <c r="H409" s="3"/>
      <c r="I409" s="1" t="s">
        <v>15</v>
      </c>
      <c r="L409" s="1" t="str">
        <f aca="false">IFERROR(G409/J409,"")</f>
        <v/>
      </c>
    </row>
    <row r="410" customFormat="false" ht="13.8" hidden="false" customHeight="false" outlineLevel="0" collapsed="false">
      <c r="A410" s="1" t="s">
        <v>17</v>
      </c>
      <c r="B410" s="1" t="s">
        <v>129</v>
      </c>
      <c r="C410" s="2" t="n">
        <v>45771</v>
      </c>
      <c r="D410" s="2" t="n">
        <v>45777</v>
      </c>
      <c r="E410" s="1" t="s">
        <v>22</v>
      </c>
      <c r="F410" s="1" t="n">
        <v>2940</v>
      </c>
      <c r="G410" s="3" t="n">
        <v>2940</v>
      </c>
      <c r="H410" s="3"/>
      <c r="I410" s="1" t="s">
        <v>15</v>
      </c>
      <c r="L410" s="1" t="str">
        <f aca="false">IFERROR(G410/J410,"")</f>
        <v/>
      </c>
    </row>
    <row r="411" customFormat="false" ht="13.8" hidden="false" customHeight="false" outlineLevel="0" collapsed="false">
      <c r="A411" s="1" t="s">
        <v>12</v>
      </c>
      <c r="B411" s="1" t="s">
        <v>129</v>
      </c>
      <c r="C411" s="2" t="n">
        <v>45771</v>
      </c>
      <c r="D411" s="2" t="n">
        <v>45777</v>
      </c>
      <c r="E411" s="1" t="s">
        <v>22</v>
      </c>
      <c r="F411" s="3" t="n">
        <v>2380</v>
      </c>
      <c r="G411" s="3" t="n">
        <v>2380</v>
      </c>
      <c r="H411" s="3"/>
      <c r="I411" s="1" t="s">
        <v>15</v>
      </c>
      <c r="L411" s="1" t="str">
        <f aca="false">IFERROR(G411/J411,"")</f>
        <v/>
      </c>
    </row>
    <row r="412" customFormat="false" ht="13.8" hidden="false" customHeight="false" outlineLevel="0" collapsed="false">
      <c r="A412" s="1" t="s">
        <v>17</v>
      </c>
      <c r="B412" s="1" t="s">
        <v>129</v>
      </c>
      <c r="C412" s="2" t="n">
        <v>45775</v>
      </c>
      <c r="D412" s="2" t="n">
        <v>45777</v>
      </c>
      <c r="E412" s="1" t="s">
        <v>125</v>
      </c>
      <c r="F412" s="1" t="n">
        <v>600</v>
      </c>
      <c r="G412" s="1" t="n">
        <v>600</v>
      </c>
      <c r="I412" s="1" t="s">
        <v>15</v>
      </c>
      <c r="L412" s="1" t="str">
        <f aca="false">IFERROR(G412/J412,"")</f>
        <v/>
      </c>
    </row>
    <row r="413" customFormat="false" ht="13.8" hidden="false" customHeight="false" outlineLevel="0" collapsed="false">
      <c r="A413" s="1" t="s">
        <v>17</v>
      </c>
      <c r="B413" s="1" t="s">
        <v>129</v>
      </c>
      <c r="C413" s="2" t="n">
        <v>45775</v>
      </c>
      <c r="D413" s="2" t="n">
        <v>45777</v>
      </c>
      <c r="E413" s="1" t="s">
        <v>94</v>
      </c>
      <c r="F413" s="1" t="n">
        <v>4665.6</v>
      </c>
      <c r="G413" s="3" t="n">
        <v>4665.6</v>
      </c>
      <c r="H413" s="3"/>
      <c r="I413" s="1" t="s">
        <v>15</v>
      </c>
      <c r="L413" s="1" t="str">
        <f aca="false">IFERROR(G413/J413,"")</f>
        <v/>
      </c>
    </row>
    <row r="414" customFormat="false" ht="13.8" hidden="false" customHeight="false" outlineLevel="0" collapsed="false">
      <c r="A414" s="5" t="s">
        <v>141</v>
      </c>
      <c r="B414" s="6" t="n">
        <v>45748</v>
      </c>
      <c r="C414" s="7" t="n">
        <v>45743</v>
      </c>
      <c r="D414" s="7" t="n">
        <v>45777</v>
      </c>
      <c r="E414" s="5" t="s">
        <v>164</v>
      </c>
      <c r="F414" s="8" t="n">
        <v>750</v>
      </c>
      <c r="G414" s="8" t="n">
        <v>750</v>
      </c>
      <c r="H414" s="9"/>
      <c r="I414" s="9"/>
      <c r="K414" s="9"/>
      <c r="L414" s="1" t="str">
        <f aca="false">IFERROR(G414/J414,"")</f>
        <v/>
      </c>
    </row>
    <row r="415" customFormat="false" ht="13.8" hidden="false" customHeight="false" outlineLevel="0" collapsed="false">
      <c r="A415" s="5" t="s">
        <v>17</v>
      </c>
      <c r="B415" s="6" t="n">
        <v>45748</v>
      </c>
      <c r="C415" s="7" t="n">
        <v>45744</v>
      </c>
      <c r="D415" s="7" t="n">
        <v>45777</v>
      </c>
      <c r="E415" s="5" t="s">
        <v>165</v>
      </c>
      <c r="F415" s="8" t="n">
        <v>3545.78</v>
      </c>
      <c r="G415" s="8" t="n">
        <v>2836.624</v>
      </c>
      <c r="H415" s="9"/>
      <c r="I415" s="9"/>
      <c r="K415" s="9" t="s">
        <v>166</v>
      </c>
      <c r="L415" s="1" t="str">
        <f aca="false">IFERROR(G415/J415,"")</f>
        <v/>
      </c>
    </row>
    <row r="416" customFormat="false" ht="13.8" hidden="false" customHeight="false" outlineLevel="0" collapsed="false">
      <c r="A416" s="5" t="s">
        <v>17</v>
      </c>
      <c r="B416" s="6" t="n">
        <v>45748</v>
      </c>
      <c r="C416" s="7" t="n">
        <v>45743</v>
      </c>
      <c r="D416" s="7" t="n">
        <v>45777</v>
      </c>
      <c r="E416" s="5" t="s">
        <v>167</v>
      </c>
      <c r="F416" s="8" t="n">
        <v>12430</v>
      </c>
      <c r="G416" s="8" t="n">
        <v>12430</v>
      </c>
      <c r="H416" s="9" t="s">
        <v>168</v>
      </c>
      <c r="I416" s="9"/>
      <c r="K416" s="9"/>
      <c r="L416" s="1" t="str">
        <f aca="false">IFERROR(G416/J416,"")</f>
        <v/>
      </c>
    </row>
    <row r="417" customFormat="false" ht="13.8" hidden="false" customHeight="false" outlineLevel="0" collapsed="false">
      <c r="A417" s="5" t="s">
        <v>141</v>
      </c>
      <c r="B417" s="6" t="n">
        <v>45748</v>
      </c>
      <c r="C417" s="7" t="n">
        <v>45743</v>
      </c>
      <c r="D417" s="7" t="n">
        <v>45777</v>
      </c>
      <c r="E417" s="5" t="s">
        <v>169</v>
      </c>
      <c r="F417" s="8" t="n">
        <v>4270</v>
      </c>
      <c r="G417" s="8" t="n">
        <v>4270</v>
      </c>
      <c r="H417" s="9"/>
      <c r="I417" s="9"/>
      <c r="K417" s="9"/>
      <c r="L417" s="1" t="str">
        <f aca="false">IFERROR(G417/J417,"")</f>
        <v/>
      </c>
    </row>
    <row r="418" customFormat="false" ht="13.8" hidden="false" customHeight="false" outlineLevel="0" collapsed="false">
      <c r="A418" s="10" t="s">
        <v>12</v>
      </c>
      <c r="B418" s="6" t="n">
        <v>45748</v>
      </c>
      <c r="C418" s="7" t="n">
        <v>45764</v>
      </c>
      <c r="D418" s="7" t="n">
        <v>45777</v>
      </c>
      <c r="E418" s="5" t="s">
        <v>170</v>
      </c>
      <c r="F418" s="8" t="n">
        <v>2975</v>
      </c>
      <c r="G418" s="8" t="n">
        <v>2380</v>
      </c>
      <c r="H418" s="9"/>
      <c r="I418" s="9" t="s">
        <v>171</v>
      </c>
      <c r="K418" s="9" t="s">
        <v>172</v>
      </c>
      <c r="L418" s="1" t="str">
        <f aca="false">IFERROR(G418/J418,"")</f>
        <v/>
      </c>
    </row>
    <row r="419" customFormat="false" ht="13.8" hidden="false" customHeight="false" outlineLevel="0" collapsed="false">
      <c r="A419" s="5" t="s">
        <v>17</v>
      </c>
      <c r="B419" s="6" t="n">
        <v>45748</v>
      </c>
      <c r="C419" s="7" t="n">
        <v>45764</v>
      </c>
      <c r="D419" s="7" t="n">
        <v>45777</v>
      </c>
      <c r="E419" s="5" t="s">
        <v>170</v>
      </c>
      <c r="F419" s="8" t="n">
        <v>3675</v>
      </c>
      <c r="G419" s="8" t="n">
        <v>2940</v>
      </c>
      <c r="H419" s="9"/>
      <c r="I419" s="9" t="s">
        <v>139</v>
      </c>
      <c r="K419" s="9" t="s">
        <v>172</v>
      </c>
      <c r="L419" s="1" t="str">
        <f aca="false">IFERROR(G419/J419,"")</f>
        <v/>
      </c>
    </row>
    <row r="420" customFormat="false" ht="13.8" hidden="false" customHeight="false" outlineLevel="0" collapsed="false">
      <c r="A420" s="5" t="s">
        <v>17</v>
      </c>
      <c r="B420" s="6" t="n">
        <v>45748</v>
      </c>
      <c r="C420" s="7" t="n">
        <v>45747</v>
      </c>
      <c r="D420" s="7" t="n">
        <v>45777</v>
      </c>
      <c r="E420" s="5" t="s">
        <v>173</v>
      </c>
      <c r="F420" s="8" t="n">
        <v>5250</v>
      </c>
      <c r="G420" s="8" t="n">
        <v>4200</v>
      </c>
      <c r="H420" s="9"/>
      <c r="I420" s="9" t="s">
        <v>139</v>
      </c>
      <c r="K420" s="9" t="s">
        <v>172</v>
      </c>
      <c r="L420" s="1" t="str">
        <f aca="false">IFERROR(G420/J420,"")</f>
        <v/>
      </c>
    </row>
    <row r="421" customFormat="false" ht="13.8" hidden="false" customHeight="false" outlineLevel="0" collapsed="false">
      <c r="A421" s="5" t="s">
        <v>141</v>
      </c>
      <c r="B421" s="6" t="n">
        <v>45748</v>
      </c>
      <c r="C421" s="7" t="n">
        <v>45743</v>
      </c>
      <c r="D421" s="7" t="n">
        <v>45777</v>
      </c>
      <c r="E421" s="5" t="s">
        <v>174</v>
      </c>
      <c r="F421" s="8" t="n">
        <v>2000</v>
      </c>
      <c r="G421" s="8" t="n">
        <v>2000</v>
      </c>
      <c r="H421" s="9"/>
      <c r="I421" s="9"/>
      <c r="K421" s="9"/>
      <c r="L421" s="1" t="str">
        <f aca="false">IFERROR(G421/J421,"")</f>
        <v/>
      </c>
    </row>
    <row r="422" customFormat="false" ht="13.8" hidden="false" customHeight="false" outlineLevel="0" collapsed="false">
      <c r="A422" s="5" t="s">
        <v>17</v>
      </c>
      <c r="B422" s="6" t="n">
        <v>45748</v>
      </c>
      <c r="C422" s="7" t="n">
        <v>45772</v>
      </c>
      <c r="D422" s="7" t="n">
        <v>45777</v>
      </c>
      <c r="E422" s="5" t="s">
        <v>175</v>
      </c>
      <c r="F422" s="8" t="n">
        <v>5832</v>
      </c>
      <c r="G422" s="8" t="n">
        <v>4665.6</v>
      </c>
      <c r="H422" s="9" t="s">
        <v>176</v>
      </c>
      <c r="I422" s="9" t="s">
        <v>177</v>
      </c>
      <c r="K422" s="9" t="s">
        <v>172</v>
      </c>
      <c r="L422" s="1" t="str">
        <f aca="false">IFERROR(G422/J422,"")</f>
        <v/>
      </c>
    </row>
    <row r="423" customFormat="false" ht="13.8" hidden="false" customHeight="false" outlineLevel="0" collapsed="false">
      <c r="A423" s="5" t="s">
        <v>141</v>
      </c>
      <c r="B423" s="6" t="n">
        <v>45748</v>
      </c>
      <c r="C423" s="7" t="n">
        <v>45743</v>
      </c>
      <c r="D423" s="7" t="n">
        <v>45777</v>
      </c>
      <c r="E423" s="5" t="s">
        <v>178</v>
      </c>
      <c r="F423" s="8" t="n">
        <v>1500</v>
      </c>
      <c r="G423" s="8" t="n">
        <v>1500</v>
      </c>
      <c r="H423" s="9"/>
      <c r="I423" s="9"/>
      <c r="K423" s="9"/>
      <c r="L423" s="1" t="str">
        <f aca="false">IFERROR(G423/J423,"")</f>
        <v/>
      </c>
    </row>
    <row r="424" customFormat="false" ht="13.8" hidden="false" customHeight="false" outlineLevel="0" collapsed="false">
      <c r="A424" s="10" t="s">
        <v>12</v>
      </c>
      <c r="B424" s="6" t="n">
        <v>45748</v>
      </c>
      <c r="C424" s="7" t="n">
        <v>45764</v>
      </c>
      <c r="D424" s="7" t="n">
        <v>45777</v>
      </c>
      <c r="E424" s="5" t="s">
        <v>179</v>
      </c>
      <c r="F424" s="8" t="n">
        <v>1712.32</v>
      </c>
      <c r="G424" s="8" t="n">
        <v>1369.856</v>
      </c>
      <c r="H424" s="9" t="s">
        <v>131</v>
      </c>
      <c r="I424" s="9" t="s">
        <v>132</v>
      </c>
      <c r="K424" s="9" t="s">
        <v>180</v>
      </c>
      <c r="L424" s="1" t="str">
        <f aca="false">IFERROR(G424/J424,"")</f>
        <v/>
      </c>
    </row>
    <row r="425" customFormat="false" ht="13.8" hidden="false" customHeight="false" outlineLevel="0" collapsed="false">
      <c r="A425" s="5" t="s">
        <v>17</v>
      </c>
      <c r="B425" s="6" t="n">
        <v>45748</v>
      </c>
      <c r="C425" s="7" t="n">
        <v>45764</v>
      </c>
      <c r="D425" s="7" t="n">
        <v>45777</v>
      </c>
      <c r="E425" s="5" t="s">
        <v>179</v>
      </c>
      <c r="F425" s="8" t="n">
        <v>3780</v>
      </c>
      <c r="G425" s="8" t="n">
        <v>3024</v>
      </c>
      <c r="H425" s="9" t="s">
        <v>148</v>
      </c>
      <c r="I425" s="9" t="s">
        <v>152</v>
      </c>
      <c r="K425" s="9" t="s">
        <v>180</v>
      </c>
      <c r="L425" s="1" t="str">
        <f aca="false">IFERROR(G425/J425,"")</f>
        <v/>
      </c>
    </row>
    <row r="426" customFormat="false" ht="13.8" hidden="false" customHeight="false" outlineLevel="0" collapsed="false">
      <c r="A426" s="5" t="s">
        <v>12</v>
      </c>
      <c r="B426" s="6" t="n">
        <v>45748</v>
      </c>
      <c r="C426" s="7" t="n">
        <v>45764</v>
      </c>
      <c r="D426" s="7" t="n">
        <v>45777</v>
      </c>
      <c r="E426" s="5" t="s">
        <v>179</v>
      </c>
      <c r="F426" s="8" t="n">
        <v>3801.58</v>
      </c>
      <c r="G426" s="8" t="n">
        <v>3041.264</v>
      </c>
      <c r="H426" s="9" t="s">
        <v>134</v>
      </c>
      <c r="I426" s="9" t="s">
        <v>127</v>
      </c>
      <c r="K426" s="9" t="s">
        <v>180</v>
      </c>
      <c r="L426" s="1" t="str">
        <f aca="false">IFERROR(G426/J426,"")</f>
        <v/>
      </c>
    </row>
    <row r="427" customFormat="false" ht="13.8" hidden="false" customHeight="false" outlineLevel="0" collapsed="false">
      <c r="A427" s="5" t="s">
        <v>141</v>
      </c>
      <c r="B427" s="6" t="n">
        <v>45748</v>
      </c>
      <c r="C427" s="7" t="n">
        <v>45743</v>
      </c>
      <c r="D427" s="7" t="n">
        <v>45777</v>
      </c>
      <c r="E427" s="5" t="s">
        <v>181</v>
      </c>
      <c r="F427" s="8" t="n">
        <v>2500</v>
      </c>
      <c r="G427" s="8" t="n">
        <v>2500</v>
      </c>
      <c r="H427" s="9" t="s">
        <v>182</v>
      </c>
      <c r="I427" s="9"/>
      <c r="K427" s="9" t="s">
        <v>183</v>
      </c>
      <c r="L427" s="1" t="str">
        <f aca="false">IFERROR(G427/J427,"")</f>
        <v/>
      </c>
    </row>
    <row r="428" customFormat="false" ht="13.8" hidden="false" customHeight="false" outlineLevel="0" collapsed="false">
      <c r="A428" s="5" t="s">
        <v>141</v>
      </c>
      <c r="B428" s="6" t="n">
        <v>45748</v>
      </c>
      <c r="C428" s="7" t="n">
        <v>45743</v>
      </c>
      <c r="D428" s="7" t="n">
        <v>45777</v>
      </c>
      <c r="E428" s="5" t="s">
        <v>184</v>
      </c>
      <c r="F428" s="8" t="n">
        <v>2200</v>
      </c>
      <c r="G428" s="8" t="n">
        <v>2200</v>
      </c>
      <c r="H428" s="9"/>
      <c r="I428" s="9"/>
      <c r="K428" s="9"/>
      <c r="L428" s="1" t="str">
        <f aca="false">IFERROR(G428/J428,"")</f>
        <v/>
      </c>
    </row>
    <row r="429" customFormat="false" ht="13.8" hidden="false" customHeight="false" outlineLevel="0" collapsed="false">
      <c r="A429" s="5" t="s">
        <v>17</v>
      </c>
      <c r="B429" s="6" t="n">
        <v>45748</v>
      </c>
      <c r="C429" s="7" t="n">
        <v>45743</v>
      </c>
      <c r="D429" s="7" t="n">
        <v>45777</v>
      </c>
      <c r="E429" s="5" t="s">
        <v>185</v>
      </c>
      <c r="F429" s="8" t="n">
        <v>3811.5</v>
      </c>
      <c r="G429" s="8" t="n">
        <v>3049.2</v>
      </c>
      <c r="H429" s="9"/>
      <c r="I429" s="9" t="s">
        <v>139</v>
      </c>
      <c r="K429" s="9" t="s">
        <v>186</v>
      </c>
      <c r="L429" s="1" t="str">
        <f aca="false">IFERROR(G429/J429,"")</f>
        <v/>
      </c>
    </row>
    <row r="430" customFormat="false" ht="13.8" hidden="false" customHeight="false" outlineLevel="0" collapsed="false">
      <c r="A430" s="5" t="s">
        <v>141</v>
      </c>
      <c r="B430" s="6" t="n">
        <v>45748</v>
      </c>
      <c r="C430" s="7" t="n">
        <v>45743</v>
      </c>
      <c r="D430" s="7" t="n">
        <v>45777</v>
      </c>
      <c r="E430" s="5" t="s">
        <v>187</v>
      </c>
      <c r="F430" s="8" t="n">
        <v>1250</v>
      </c>
      <c r="G430" s="8" t="n">
        <v>1250</v>
      </c>
      <c r="H430" s="9"/>
      <c r="I430" s="9"/>
      <c r="K430" s="9"/>
      <c r="L430" s="1" t="str">
        <f aca="false">IFERROR(G430/J430,"")</f>
        <v/>
      </c>
    </row>
    <row r="431" customFormat="false" ht="13.8" hidden="false" customHeight="false" outlineLevel="0" collapsed="false">
      <c r="A431" s="5" t="s">
        <v>141</v>
      </c>
      <c r="B431" s="6" t="n">
        <v>45748</v>
      </c>
      <c r="C431" s="7" t="n">
        <v>45743</v>
      </c>
      <c r="D431" s="7" t="n">
        <v>45777</v>
      </c>
      <c r="E431" s="5" t="s">
        <v>187</v>
      </c>
      <c r="F431" s="8" t="n">
        <v>1250</v>
      </c>
      <c r="G431" s="8" t="n">
        <v>1250</v>
      </c>
      <c r="H431" s="9"/>
      <c r="I431" s="9"/>
      <c r="K431" s="9"/>
      <c r="L431" s="1" t="str">
        <f aca="false">IFERROR(G431/J431,"")</f>
        <v/>
      </c>
    </row>
    <row r="432" customFormat="false" ht="13.8" hidden="false" customHeight="false" outlineLevel="0" collapsed="false">
      <c r="A432" s="5" t="s">
        <v>141</v>
      </c>
      <c r="B432" s="6" t="n">
        <v>45748</v>
      </c>
      <c r="C432" s="7" t="n">
        <v>45743</v>
      </c>
      <c r="D432" s="7" t="n">
        <v>45777</v>
      </c>
      <c r="E432" s="5" t="s">
        <v>188</v>
      </c>
      <c r="F432" s="8" t="n">
        <v>1000</v>
      </c>
      <c r="G432" s="8" t="n">
        <v>1000</v>
      </c>
      <c r="H432" s="9"/>
      <c r="I432" s="9"/>
      <c r="K432" s="9"/>
      <c r="L432" s="1" t="str">
        <f aca="false">IFERROR(G432/J432,"")</f>
        <v/>
      </c>
    </row>
    <row r="433" customFormat="false" ht="13.8" hidden="false" customHeight="false" outlineLevel="0" collapsed="false">
      <c r="A433" s="5" t="s">
        <v>141</v>
      </c>
      <c r="B433" s="6" t="n">
        <v>45748</v>
      </c>
      <c r="C433" s="7" t="n">
        <v>45743</v>
      </c>
      <c r="D433" s="7" t="n">
        <v>45777</v>
      </c>
      <c r="E433" s="5" t="s">
        <v>189</v>
      </c>
      <c r="F433" s="8" t="n">
        <v>1000</v>
      </c>
      <c r="G433" s="8" t="n">
        <v>1000</v>
      </c>
      <c r="H433" s="9"/>
      <c r="I433" s="9"/>
      <c r="K433" s="9"/>
      <c r="L433" s="1" t="str">
        <f aca="false">IFERROR(G433/J433,"")</f>
        <v/>
      </c>
    </row>
    <row r="434" customFormat="false" ht="13.8" hidden="false" customHeight="false" outlineLevel="0" collapsed="false">
      <c r="A434" s="5" t="s">
        <v>141</v>
      </c>
      <c r="B434" s="6" t="n">
        <v>45748</v>
      </c>
      <c r="C434" s="7" t="n">
        <v>45743</v>
      </c>
      <c r="D434" s="7" t="n">
        <v>45777</v>
      </c>
      <c r="E434" s="5" t="s">
        <v>190</v>
      </c>
      <c r="F434" s="8" t="n">
        <v>500</v>
      </c>
      <c r="G434" s="8" t="n">
        <v>500</v>
      </c>
      <c r="H434" s="9"/>
      <c r="I434" s="9"/>
      <c r="K434" s="9"/>
      <c r="L434" s="1" t="str">
        <f aca="false">IFERROR(G434/J434,"")</f>
        <v/>
      </c>
    </row>
    <row r="435" customFormat="false" ht="13.8" hidden="false" customHeight="false" outlineLevel="0" collapsed="false">
      <c r="A435" s="5" t="s">
        <v>141</v>
      </c>
      <c r="B435" s="6" t="n">
        <v>45748</v>
      </c>
      <c r="C435" s="7" t="n">
        <v>45743</v>
      </c>
      <c r="D435" s="7" t="n">
        <v>45777</v>
      </c>
      <c r="E435" s="5" t="s">
        <v>191</v>
      </c>
      <c r="F435" s="8" t="n">
        <v>2000</v>
      </c>
      <c r="G435" s="8" t="n">
        <v>2000</v>
      </c>
      <c r="H435" s="9"/>
      <c r="I435" s="9"/>
      <c r="K435" s="9"/>
      <c r="L435" s="1" t="str">
        <f aca="false">IFERROR(G435/J435,"")</f>
        <v/>
      </c>
    </row>
    <row r="436" customFormat="false" ht="13.8" hidden="false" customHeight="false" outlineLevel="0" collapsed="false">
      <c r="A436" s="5" t="s">
        <v>141</v>
      </c>
      <c r="B436" s="6" t="n">
        <v>45748</v>
      </c>
      <c r="C436" s="7" t="n">
        <v>45743</v>
      </c>
      <c r="D436" s="7" t="n">
        <v>45777</v>
      </c>
      <c r="E436" s="5" t="s">
        <v>192</v>
      </c>
      <c r="F436" s="8" t="n">
        <v>2500</v>
      </c>
      <c r="G436" s="8" t="n">
        <v>2500</v>
      </c>
      <c r="H436" s="9"/>
      <c r="I436" s="9"/>
      <c r="K436" s="9"/>
      <c r="L436" s="1" t="str">
        <f aca="false">IFERROR(G436/J436,"")</f>
        <v/>
      </c>
    </row>
    <row r="437" customFormat="false" ht="13.8" hidden="false" customHeight="false" outlineLevel="0" collapsed="false">
      <c r="A437" s="10" t="s">
        <v>12</v>
      </c>
      <c r="B437" s="6" t="n">
        <v>45748</v>
      </c>
      <c r="C437" s="7" t="n">
        <v>45748</v>
      </c>
      <c r="D437" s="7" t="n">
        <v>45777</v>
      </c>
      <c r="E437" s="5" t="s">
        <v>193</v>
      </c>
      <c r="F437" s="8" t="n">
        <v>1632.67</v>
      </c>
      <c r="G437" s="8" t="n">
        <v>1306.136</v>
      </c>
      <c r="H437" s="9"/>
      <c r="I437" s="9"/>
      <c r="K437" s="9" t="s">
        <v>194</v>
      </c>
      <c r="L437" s="1" t="str">
        <f aca="false">IFERROR(G437/J437,"")</f>
        <v/>
      </c>
    </row>
    <row r="438" customFormat="false" ht="13.8" hidden="false" customHeight="false" outlineLevel="0" collapsed="false">
      <c r="A438" s="5" t="s">
        <v>141</v>
      </c>
      <c r="B438" s="6" t="n">
        <v>45748</v>
      </c>
      <c r="C438" s="7" t="n">
        <v>45743</v>
      </c>
      <c r="D438" s="7" t="n">
        <v>45777</v>
      </c>
      <c r="E438" s="13" t="s">
        <v>195</v>
      </c>
      <c r="F438" s="8" t="n">
        <v>1400</v>
      </c>
      <c r="G438" s="8" t="n">
        <v>1400</v>
      </c>
      <c r="H438" s="9"/>
      <c r="I438" s="9"/>
      <c r="K438" s="9"/>
      <c r="L438" s="1" t="str">
        <f aca="false">IFERROR(G438/J438,"")</f>
        <v/>
      </c>
    </row>
    <row r="439" customFormat="false" ht="13.8" hidden="false" customHeight="false" outlineLevel="0" collapsed="false">
      <c r="A439" s="10" t="s">
        <v>12</v>
      </c>
      <c r="B439" s="6" t="n">
        <v>45748</v>
      </c>
      <c r="C439" s="7" t="n">
        <v>45743</v>
      </c>
      <c r="D439" s="7" t="n">
        <v>45777</v>
      </c>
      <c r="E439" s="5" t="s">
        <v>196</v>
      </c>
      <c r="F439" s="8" t="n">
        <v>6784</v>
      </c>
      <c r="G439" s="8" t="n">
        <v>5427.2</v>
      </c>
      <c r="H439" s="9"/>
      <c r="I439" s="9"/>
      <c r="K439" s="9" t="s">
        <v>197</v>
      </c>
      <c r="L439" s="1" t="str">
        <f aca="false">IFERROR(G439/J439,"")</f>
        <v/>
      </c>
    </row>
    <row r="440" customFormat="false" ht="13.8" hidden="false" customHeight="false" outlineLevel="0" collapsed="false">
      <c r="A440" s="5" t="s">
        <v>17</v>
      </c>
      <c r="B440" s="6" t="n">
        <v>45748</v>
      </c>
      <c r="C440" s="7" t="n">
        <v>45743</v>
      </c>
      <c r="D440" s="7" t="n">
        <v>45777</v>
      </c>
      <c r="E440" s="5" t="s">
        <v>196</v>
      </c>
      <c r="F440" s="8" t="n">
        <v>6784</v>
      </c>
      <c r="G440" s="8" t="n">
        <v>5427.2</v>
      </c>
      <c r="H440" s="9"/>
      <c r="I440" s="9"/>
      <c r="K440" s="9" t="s">
        <v>197</v>
      </c>
      <c r="L440" s="1" t="str">
        <f aca="false">IFERROR(G440/J440,"")</f>
        <v/>
      </c>
    </row>
    <row r="441" customFormat="false" ht="13.8" hidden="false" customHeight="false" outlineLevel="0" collapsed="false">
      <c r="A441" s="5" t="s">
        <v>141</v>
      </c>
      <c r="B441" s="6" t="n">
        <v>45748</v>
      </c>
      <c r="C441" s="7" t="n">
        <v>45743</v>
      </c>
      <c r="D441" s="7" t="n">
        <v>45777</v>
      </c>
      <c r="E441" s="5" t="s">
        <v>198</v>
      </c>
      <c r="F441" s="8" t="n">
        <v>2992.5</v>
      </c>
      <c r="G441" s="8" t="n">
        <v>2394</v>
      </c>
      <c r="H441" s="9"/>
      <c r="I441" s="9"/>
      <c r="K441" s="9" t="s">
        <v>199</v>
      </c>
      <c r="L441" s="1" t="str">
        <f aca="false">IFERROR(G441/J441,"")</f>
        <v/>
      </c>
    </row>
    <row r="442" customFormat="false" ht="13.8" hidden="false" customHeight="false" outlineLevel="0" collapsed="false">
      <c r="A442" s="5" t="s">
        <v>141</v>
      </c>
      <c r="B442" s="6" t="n">
        <v>45748</v>
      </c>
      <c r="C442" s="7" t="n">
        <v>45743</v>
      </c>
      <c r="D442" s="7" t="n">
        <v>45777</v>
      </c>
      <c r="E442" s="5" t="s">
        <v>142</v>
      </c>
      <c r="F442" s="8" t="n">
        <v>600</v>
      </c>
      <c r="G442" s="8" t="n">
        <v>600</v>
      </c>
      <c r="H442" s="9"/>
      <c r="I442" s="9"/>
      <c r="K442" s="9"/>
      <c r="L442" s="1" t="str">
        <f aca="false">IFERROR(G442/J442,"")</f>
        <v/>
      </c>
    </row>
    <row r="443" customFormat="false" ht="13.8" hidden="false" customHeight="false" outlineLevel="0" collapsed="false">
      <c r="A443" s="5" t="s">
        <v>141</v>
      </c>
      <c r="B443" s="6" t="n">
        <v>45748</v>
      </c>
      <c r="C443" s="7" t="n">
        <v>45743</v>
      </c>
      <c r="D443" s="7" t="n">
        <v>45777</v>
      </c>
      <c r="E443" s="5" t="s">
        <v>200</v>
      </c>
      <c r="F443" s="8" t="n">
        <v>500</v>
      </c>
      <c r="G443" s="8" t="n">
        <v>500</v>
      </c>
      <c r="H443" s="9"/>
      <c r="I443" s="9"/>
      <c r="K443" s="9"/>
      <c r="L443" s="1" t="str">
        <f aca="false">IFERROR(G443/J443,"")</f>
        <v/>
      </c>
    </row>
    <row r="444" customFormat="false" ht="13.8" hidden="false" customHeight="false" outlineLevel="0" collapsed="false">
      <c r="A444" s="5" t="s">
        <v>141</v>
      </c>
      <c r="B444" s="6" t="n">
        <v>45748</v>
      </c>
      <c r="C444" s="7" t="n">
        <v>45743</v>
      </c>
      <c r="D444" s="7" t="n">
        <v>45777</v>
      </c>
      <c r="E444" s="5" t="s">
        <v>201</v>
      </c>
      <c r="F444" s="8" t="n">
        <v>1000</v>
      </c>
      <c r="G444" s="8" t="n">
        <v>1000</v>
      </c>
      <c r="H444" s="9"/>
      <c r="I444" s="9"/>
      <c r="K444" s="9"/>
      <c r="L444" s="1" t="str">
        <f aca="false">IFERROR(G444/J444,"")</f>
        <v/>
      </c>
    </row>
    <row r="445" customFormat="false" ht="13.8" hidden="false" customHeight="false" outlineLevel="0" collapsed="false">
      <c r="A445" s="5" t="s">
        <v>141</v>
      </c>
      <c r="B445" s="6" t="n">
        <v>45748</v>
      </c>
      <c r="C445" s="7" t="n">
        <v>45743</v>
      </c>
      <c r="D445" s="7" t="n">
        <v>45777</v>
      </c>
      <c r="E445" s="5" t="s">
        <v>202</v>
      </c>
      <c r="F445" s="8" t="n">
        <v>6000</v>
      </c>
      <c r="G445" s="8" t="n">
        <v>6000</v>
      </c>
      <c r="H445" s="9"/>
      <c r="I445" s="9"/>
      <c r="K445" s="9"/>
      <c r="L445" s="1" t="str">
        <f aca="false">IFERROR(G445/J445,"")</f>
        <v/>
      </c>
    </row>
    <row r="446" customFormat="false" ht="13.8" hidden="false" customHeight="false" outlineLevel="0" collapsed="false">
      <c r="A446" s="5" t="s">
        <v>141</v>
      </c>
      <c r="B446" s="6" t="n">
        <v>45748</v>
      </c>
      <c r="C446" s="7" t="n">
        <v>45743</v>
      </c>
      <c r="D446" s="7" t="n">
        <v>45777</v>
      </c>
      <c r="E446" s="5" t="s">
        <v>202</v>
      </c>
      <c r="F446" s="8" t="n">
        <v>6000</v>
      </c>
      <c r="G446" s="8" t="n">
        <v>6000</v>
      </c>
      <c r="H446" s="9"/>
      <c r="I446" s="9"/>
      <c r="K446" s="9"/>
      <c r="L446" s="1" t="str">
        <f aca="false">IFERROR(G446/J446,"")</f>
        <v/>
      </c>
    </row>
    <row r="447" customFormat="false" ht="13.8" hidden="false" customHeight="false" outlineLevel="0" collapsed="false">
      <c r="A447" s="5" t="s">
        <v>141</v>
      </c>
      <c r="B447" s="6" t="n">
        <v>45748</v>
      </c>
      <c r="C447" s="7" t="n">
        <v>45743</v>
      </c>
      <c r="D447" s="7" t="n">
        <v>45777</v>
      </c>
      <c r="E447" s="5" t="s">
        <v>202</v>
      </c>
      <c r="F447" s="8" t="n">
        <v>6000</v>
      </c>
      <c r="G447" s="8" t="n">
        <v>6000</v>
      </c>
      <c r="H447" s="9"/>
      <c r="I447" s="9"/>
      <c r="K447" s="9"/>
      <c r="L447" s="1" t="str">
        <f aca="false">IFERROR(G447/J447,"")</f>
        <v/>
      </c>
    </row>
    <row r="448" customFormat="false" ht="13.8" hidden="false" customHeight="false" outlineLevel="0" collapsed="false">
      <c r="A448" s="5" t="s">
        <v>141</v>
      </c>
      <c r="B448" s="6" t="n">
        <v>45748</v>
      </c>
      <c r="C448" s="7" t="n">
        <v>45743</v>
      </c>
      <c r="D448" s="7" t="n">
        <v>45777</v>
      </c>
      <c r="E448" s="5" t="s">
        <v>202</v>
      </c>
      <c r="F448" s="8" t="n">
        <v>6000</v>
      </c>
      <c r="G448" s="8" t="n">
        <v>6000</v>
      </c>
      <c r="H448" s="9"/>
      <c r="I448" s="9"/>
      <c r="K448" s="9"/>
      <c r="L448" s="1" t="str">
        <f aca="false">IFERROR(G448/J448,"")</f>
        <v/>
      </c>
    </row>
    <row r="449" customFormat="false" ht="13.8" hidden="false" customHeight="false" outlineLevel="0" collapsed="false">
      <c r="A449" s="5" t="s">
        <v>17</v>
      </c>
      <c r="B449" s="6" t="n">
        <v>45748</v>
      </c>
      <c r="C449" s="7" t="n">
        <v>45744</v>
      </c>
      <c r="D449" s="7" t="n">
        <v>45777</v>
      </c>
      <c r="E449" s="5" t="s">
        <v>203</v>
      </c>
      <c r="F449" s="8" t="n">
        <v>2835</v>
      </c>
      <c r="G449" s="8" t="n">
        <v>2268</v>
      </c>
      <c r="H449" s="9"/>
      <c r="I449" s="9" t="s">
        <v>139</v>
      </c>
      <c r="K449" s="9" t="s">
        <v>204</v>
      </c>
      <c r="L449" s="1" t="str">
        <f aca="false">IFERROR(G449/J449,"")</f>
        <v/>
      </c>
    </row>
    <row r="450" customFormat="false" ht="13.8" hidden="false" customHeight="false" outlineLevel="0" collapsed="false">
      <c r="A450" s="5" t="s">
        <v>17</v>
      </c>
      <c r="B450" s="6" t="n">
        <v>45748</v>
      </c>
      <c r="C450" s="7" t="n">
        <v>45744</v>
      </c>
      <c r="D450" s="7" t="n">
        <v>45777</v>
      </c>
      <c r="E450" s="5" t="s">
        <v>205</v>
      </c>
      <c r="F450" s="8" t="n">
        <v>2700</v>
      </c>
      <c r="G450" s="8" t="n">
        <v>2160</v>
      </c>
      <c r="H450" s="9"/>
      <c r="I450" s="9" t="s">
        <v>139</v>
      </c>
      <c r="K450" s="9" t="s">
        <v>204</v>
      </c>
      <c r="L450" s="1" t="str">
        <f aca="false">IFERROR(G450/J450,"")</f>
        <v/>
      </c>
    </row>
    <row r="451" customFormat="false" ht="13.8" hidden="false" customHeight="false" outlineLevel="0" collapsed="false">
      <c r="A451" s="5" t="s">
        <v>141</v>
      </c>
      <c r="B451" s="6" t="n">
        <v>45748</v>
      </c>
      <c r="C451" s="7" t="n">
        <v>45743</v>
      </c>
      <c r="D451" s="7" t="n">
        <v>45777</v>
      </c>
      <c r="E451" s="5" t="s">
        <v>206</v>
      </c>
      <c r="F451" s="8" t="n">
        <v>1500</v>
      </c>
      <c r="G451" s="8" t="n">
        <v>1500</v>
      </c>
      <c r="H451" s="9"/>
      <c r="I451" s="9"/>
      <c r="K451" s="9"/>
      <c r="L451" s="1" t="str">
        <f aca="false">IFERROR(G451/J451,"")</f>
        <v/>
      </c>
    </row>
    <row r="452" customFormat="false" ht="13.8" hidden="false" customHeight="false" outlineLevel="0" collapsed="false">
      <c r="A452" s="5" t="s">
        <v>17</v>
      </c>
      <c r="B452" s="6" t="n">
        <v>45748</v>
      </c>
      <c r="C452" s="7" t="n">
        <v>45743</v>
      </c>
      <c r="D452" s="7" t="n">
        <v>45777</v>
      </c>
      <c r="E452" s="5" t="s">
        <v>207</v>
      </c>
      <c r="F452" s="8" t="n">
        <v>2940</v>
      </c>
      <c r="G452" s="8" t="n">
        <v>2940</v>
      </c>
      <c r="H452" s="9"/>
      <c r="I452" s="9" t="s">
        <v>152</v>
      </c>
      <c r="K452" s="9" t="s">
        <v>208</v>
      </c>
      <c r="L452" s="1" t="str">
        <f aca="false">IFERROR(G452/J452,"")</f>
        <v/>
      </c>
    </row>
    <row r="453" customFormat="false" ht="13.8" hidden="false" customHeight="false" outlineLevel="0" collapsed="false">
      <c r="A453" s="5" t="s">
        <v>141</v>
      </c>
      <c r="B453" s="6" t="n">
        <v>45748</v>
      </c>
      <c r="C453" s="7" t="n">
        <v>45743</v>
      </c>
      <c r="D453" s="7" t="n">
        <v>45777</v>
      </c>
      <c r="E453" s="5" t="s">
        <v>209</v>
      </c>
      <c r="F453" s="8" t="n">
        <v>1300</v>
      </c>
      <c r="G453" s="8" t="n">
        <v>1300</v>
      </c>
      <c r="H453" s="9"/>
      <c r="I453" s="9"/>
      <c r="K453" s="9"/>
      <c r="L453" s="1" t="str">
        <f aca="false">IFERROR(G453/J453,"")</f>
        <v/>
      </c>
    </row>
    <row r="454" customFormat="false" ht="13.8" hidden="false" customHeight="false" outlineLevel="0" collapsed="false">
      <c r="A454" s="5" t="s">
        <v>141</v>
      </c>
      <c r="B454" s="6" t="n">
        <v>45748</v>
      </c>
      <c r="C454" s="7" t="n">
        <v>45743</v>
      </c>
      <c r="D454" s="7" t="n">
        <v>45777</v>
      </c>
      <c r="E454" s="5" t="s">
        <v>210</v>
      </c>
      <c r="F454" s="8" t="n">
        <v>8500</v>
      </c>
      <c r="G454" s="8" t="n">
        <v>8500</v>
      </c>
      <c r="H454" s="9"/>
      <c r="I454" s="9"/>
      <c r="K454" s="9"/>
      <c r="L454" s="1" t="str">
        <f aca="false">IFERROR(G454/J454,"")</f>
        <v/>
      </c>
    </row>
    <row r="455" customFormat="false" ht="13.8" hidden="false" customHeight="false" outlineLevel="0" collapsed="false">
      <c r="A455" s="5" t="s">
        <v>17</v>
      </c>
      <c r="B455" s="6" t="n">
        <v>45748</v>
      </c>
      <c r="C455" s="7" t="n">
        <v>45764</v>
      </c>
      <c r="D455" s="7" t="n">
        <v>45777</v>
      </c>
      <c r="E455" s="5" t="s">
        <v>211</v>
      </c>
      <c r="F455" s="8" t="n">
        <v>4000</v>
      </c>
      <c r="G455" s="8" t="n">
        <v>3200</v>
      </c>
      <c r="H455" s="9"/>
      <c r="I455" s="9" t="s">
        <v>139</v>
      </c>
      <c r="K455" s="9" t="s">
        <v>212</v>
      </c>
      <c r="L455" s="1" t="str">
        <f aca="false">IFERROR(G455/J455,"")</f>
        <v/>
      </c>
    </row>
    <row r="456" customFormat="false" ht="13.8" hidden="false" customHeight="false" outlineLevel="0" collapsed="false">
      <c r="A456" s="5" t="s">
        <v>17</v>
      </c>
      <c r="B456" s="6" t="n">
        <v>45748</v>
      </c>
      <c r="C456" s="7" t="n">
        <v>45755</v>
      </c>
      <c r="D456" s="7" t="n">
        <v>45777</v>
      </c>
      <c r="E456" s="5" t="s">
        <v>213</v>
      </c>
      <c r="F456" s="8" t="n">
        <v>2400</v>
      </c>
      <c r="G456" s="8" t="n">
        <v>1920</v>
      </c>
      <c r="H456" s="9"/>
      <c r="I456" s="9" t="s">
        <v>139</v>
      </c>
      <c r="K456" s="9" t="s">
        <v>214</v>
      </c>
      <c r="L456" s="1" t="str">
        <f aca="false">IFERROR(G456/J456,"")</f>
        <v/>
      </c>
    </row>
    <row r="457" customFormat="false" ht="13.8" hidden="false" customHeight="false" outlineLevel="0" collapsed="false">
      <c r="A457" s="5" t="s">
        <v>17</v>
      </c>
      <c r="B457" s="6" t="n">
        <v>45748</v>
      </c>
      <c r="C457" s="7" t="n">
        <v>45748</v>
      </c>
      <c r="D457" s="7" t="n">
        <v>45777</v>
      </c>
      <c r="E457" s="5" t="s">
        <v>215</v>
      </c>
      <c r="F457" s="8" t="n">
        <v>2660</v>
      </c>
      <c r="G457" s="8" t="n">
        <v>2128</v>
      </c>
      <c r="H457" s="9"/>
      <c r="I457" s="9" t="s">
        <v>139</v>
      </c>
      <c r="K457" s="9" t="s">
        <v>214</v>
      </c>
      <c r="L457" s="1" t="str">
        <f aca="false">IFERROR(G457/J457,"")</f>
        <v/>
      </c>
    </row>
    <row r="458" customFormat="false" ht="13.8" hidden="false" customHeight="false" outlineLevel="0" collapsed="false">
      <c r="A458" s="5" t="s">
        <v>141</v>
      </c>
      <c r="B458" s="6" t="n">
        <v>45748</v>
      </c>
      <c r="C458" s="7" t="n">
        <v>45747</v>
      </c>
      <c r="D458" s="7" t="n">
        <v>45777</v>
      </c>
      <c r="E458" s="5" t="s">
        <v>216</v>
      </c>
      <c r="F458" s="8" t="n">
        <v>1000</v>
      </c>
      <c r="G458" s="8" t="n">
        <v>1000</v>
      </c>
      <c r="H458" s="9"/>
      <c r="I458" s="9" t="s">
        <v>217</v>
      </c>
      <c r="K458" s="9"/>
      <c r="L458" s="1" t="str">
        <f aca="false">IFERROR(G458/J458,"")</f>
        <v/>
      </c>
    </row>
    <row r="459" customFormat="false" ht="13.8" hidden="false" customHeight="false" outlineLevel="0" collapsed="false">
      <c r="A459" s="5" t="s">
        <v>17</v>
      </c>
      <c r="B459" s="6" t="n">
        <v>45748</v>
      </c>
      <c r="C459" s="7" t="n">
        <v>45743</v>
      </c>
      <c r="D459" s="7" t="n">
        <v>45777</v>
      </c>
      <c r="E459" s="5" t="s">
        <v>218</v>
      </c>
      <c r="F459" s="8" t="n">
        <v>3960</v>
      </c>
      <c r="G459" s="8" t="n">
        <v>3960</v>
      </c>
      <c r="H459" s="9" t="s">
        <v>168</v>
      </c>
      <c r="I459" s="9" t="s">
        <v>139</v>
      </c>
      <c r="K459" s="9"/>
      <c r="L459" s="1" t="str">
        <f aca="false">IFERROR(G459/J459,"")</f>
        <v/>
      </c>
    </row>
    <row r="460" customFormat="false" ht="13.8" hidden="false" customHeight="false" outlineLevel="0" collapsed="false">
      <c r="A460" s="5" t="s">
        <v>141</v>
      </c>
      <c r="B460" s="6" t="n">
        <v>45748</v>
      </c>
      <c r="C460" s="7" t="n">
        <v>45743</v>
      </c>
      <c r="D460" s="7" t="n">
        <v>45777</v>
      </c>
      <c r="E460" s="5" t="s">
        <v>219</v>
      </c>
      <c r="F460" s="8" t="n">
        <v>1200</v>
      </c>
      <c r="G460" s="8" t="n">
        <v>1200</v>
      </c>
      <c r="H460" s="9"/>
      <c r="I460" s="9"/>
      <c r="K460" s="9"/>
      <c r="L460" s="1" t="str">
        <f aca="false">IFERROR(G460/J460,"")</f>
        <v/>
      </c>
    </row>
    <row r="461" customFormat="false" ht="13.8" hidden="false" customHeight="false" outlineLevel="0" collapsed="false">
      <c r="A461" s="5" t="s">
        <v>17</v>
      </c>
      <c r="B461" s="6" t="n">
        <v>45748</v>
      </c>
      <c r="C461" s="7" t="n">
        <v>45748</v>
      </c>
      <c r="D461" s="7" t="n">
        <v>45777</v>
      </c>
      <c r="E461" s="5" t="s">
        <v>220</v>
      </c>
      <c r="F461" s="8" t="n">
        <v>3292.85</v>
      </c>
      <c r="G461" s="8" t="n">
        <v>3292.85</v>
      </c>
      <c r="H461" s="9" t="s">
        <v>221</v>
      </c>
      <c r="I461" s="9" t="s">
        <v>222</v>
      </c>
      <c r="K461" s="9"/>
      <c r="L461" s="1" t="str">
        <f aca="false">IFERROR(G461/J461,"")</f>
        <v/>
      </c>
    </row>
    <row r="462" customFormat="false" ht="13.8" hidden="false" customHeight="false" outlineLevel="0" collapsed="false">
      <c r="A462" s="5" t="s">
        <v>141</v>
      </c>
      <c r="B462" s="6" t="n">
        <v>45748</v>
      </c>
      <c r="C462" s="7" t="n">
        <v>45743</v>
      </c>
      <c r="D462" s="7" t="n">
        <v>45777</v>
      </c>
      <c r="E462" s="5" t="s">
        <v>223</v>
      </c>
      <c r="F462" s="8" t="n">
        <v>7333</v>
      </c>
      <c r="G462" s="8" t="n">
        <v>5866.4</v>
      </c>
      <c r="H462" s="9"/>
      <c r="I462" s="9"/>
      <c r="K462" s="9" t="s">
        <v>224</v>
      </c>
      <c r="L462" s="1" t="str">
        <f aca="false">IFERROR(G462/J462,"")</f>
        <v/>
      </c>
    </row>
    <row r="463" customFormat="false" ht="13.8" hidden="false" customHeight="false" outlineLevel="0" collapsed="false">
      <c r="A463" s="5" t="s">
        <v>141</v>
      </c>
      <c r="B463" s="6" t="n">
        <v>45748</v>
      </c>
      <c r="C463" s="7" t="n">
        <v>45743</v>
      </c>
      <c r="D463" s="7" t="n">
        <v>45777</v>
      </c>
      <c r="E463" s="5" t="s">
        <v>223</v>
      </c>
      <c r="F463" s="8" t="n">
        <v>3094</v>
      </c>
      <c r="G463" s="8" t="n">
        <v>2475.2</v>
      </c>
      <c r="H463" s="9"/>
      <c r="I463" s="9"/>
      <c r="K463" s="9" t="s">
        <v>224</v>
      </c>
      <c r="L463" s="1" t="str">
        <f aca="false">IFERROR(G463/J463,"")</f>
        <v/>
      </c>
    </row>
    <row r="464" customFormat="false" ht="13.8" hidden="false" customHeight="false" outlineLevel="0" collapsed="false">
      <c r="A464" s="5" t="s">
        <v>141</v>
      </c>
      <c r="B464" s="6" t="n">
        <v>45748</v>
      </c>
      <c r="C464" s="7" t="n">
        <v>45743</v>
      </c>
      <c r="D464" s="7" t="n">
        <v>45777</v>
      </c>
      <c r="E464" s="5" t="s">
        <v>223</v>
      </c>
      <c r="F464" s="8" t="n">
        <v>3094</v>
      </c>
      <c r="G464" s="8" t="n">
        <v>2475.2</v>
      </c>
      <c r="H464" s="9"/>
      <c r="I464" s="9"/>
      <c r="K464" s="9" t="s">
        <v>224</v>
      </c>
      <c r="L464" s="1" t="str">
        <f aca="false">IFERROR(G464/J464,"")</f>
        <v/>
      </c>
    </row>
    <row r="465" customFormat="false" ht="13.8" hidden="false" customHeight="false" outlineLevel="0" collapsed="false">
      <c r="A465" s="5" t="s">
        <v>141</v>
      </c>
      <c r="B465" s="6" t="n">
        <v>45748</v>
      </c>
      <c r="C465" s="7" t="n">
        <v>45743</v>
      </c>
      <c r="D465" s="7" t="n">
        <v>45777</v>
      </c>
      <c r="E465" s="5" t="s">
        <v>223</v>
      </c>
      <c r="F465" s="8" t="n">
        <v>1875</v>
      </c>
      <c r="G465" s="8" t="n">
        <v>1500</v>
      </c>
      <c r="H465" s="9"/>
      <c r="I465" s="9"/>
      <c r="K465" s="9" t="s">
        <v>224</v>
      </c>
      <c r="L465" s="1" t="str">
        <f aca="false">IFERROR(G465/J465,"")</f>
        <v/>
      </c>
    </row>
    <row r="466" customFormat="false" ht="13.8" hidden="false" customHeight="false" outlineLevel="0" collapsed="false">
      <c r="A466" s="5" t="s">
        <v>17</v>
      </c>
      <c r="B466" s="6" t="n">
        <v>45748</v>
      </c>
      <c r="C466" s="7" t="n">
        <v>45771</v>
      </c>
      <c r="D466" s="7" t="n">
        <v>45777</v>
      </c>
      <c r="E466" s="5" t="s">
        <v>225</v>
      </c>
      <c r="F466" s="8" t="n">
        <v>1100</v>
      </c>
      <c r="G466" s="8" t="n">
        <v>880</v>
      </c>
      <c r="H466" s="9" t="s">
        <v>226</v>
      </c>
      <c r="I466" s="9" t="s">
        <v>152</v>
      </c>
      <c r="K466" s="9" t="s">
        <v>227</v>
      </c>
      <c r="L466" s="1" t="str">
        <f aca="false">IFERROR(G466/J466,"")</f>
        <v/>
      </c>
    </row>
    <row r="467" customFormat="false" ht="13.8" hidden="false" customHeight="false" outlineLevel="0" collapsed="false">
      <c r="A467" s="5" t="s">
        <v>17</v>
      </c>
      <c r="B467" s="6" t="n">
        <v>45748</v>
      </c>
      <c r="C467" s="7" t="n">
        <v>45764</v>
      </c>
      <c r="D467" s="7" t="n">
        <v>45777</v>
      </c>
      <c r="E467" s="5" t="s">
        <v>228</v>
      </c>
      <c r="F467" s="8" t="n">
        <v>1915.2</v>
      </c>
      <c r="G467" s="8" t="n">
        <v>1532.16</v>
      </c>
      <c r="H467" s="9"/>
      <c r="I467" s="9" t="s">
        <v>139</v>
      </c>
      <c r="K467" s="9" t="s">
        <v>157</v>
      </c>
      <c r="L467" s="1" t="str">
        <f aca="false">IFERROR(G467/J467,"")</f>
        <v/>
      </c>
    </row>
    <row r="468" customFormat="false" ht="13.8" hidden="false" customHeight="false" outlineLevel="0" collapsed="false">
      <c r="A468" s="5" t="s">
        <v>141</v>
      </c>
      <c r="B468" s="6" t="n">
        <v>45748</v>
      </c>
      <c r="C468" s="7" t="n">
        <v>45743</v>
      </c>
      <c r="D468" s="7" t="n">
        <v>45777</v>
      </c>
      <c r="E468" s="5" t="s">
        <v>229</v>
      </c>
      <c r="F468" s="8" t="n">
        <v>1500</v>
      </c>
      <c r="G468" s="8" t="n">
        <v>1500</v>
      </c>
      <c r="H468" s="9"/>
      <c r="I468" s="9"/>
      <c r="K468" s="9"/>
      <c r="L468" s="1" t="str">
        <f aca="false">IFERROR(G468/J468,"")</f>
        <v/>
      </c>
    </row>
    <row r="469" customFormat="false" ht="13.8" hidden="false" customHeight="false" outlineLevel="0" collapsed="false">
      <c r="A469" s="5" t="s">
        <v>141</v>
      </c>
      <c r="B469" s="6" t="n">
        <v>45748</v>
      </c>
      <c r="C469" s="7" t="n">
        <v>45743</v>
      </c>
      <c r="D469" s="7" t="n">
        <v>45777</v>
      </c>
      <c r="E469" s="5" t="s">
        <v>230</v>
      </c>
      <c r="F469" s="8" t="n">
        <v>2500</v>
      </c>
      <c r="G469" s="8" t="n">
        <v>2500</v>
      </c>
      <c r="H469" s="9"/>
      <c r="I469" s="9"/>
      <c r="K469" s="9"/>
      <c r="L469" s="1" t="str">
        <f aca="false">IFERROR(G469/J469,"")</f>
        <v/>
      </c>
    </row>
    <row r="470" customFormat="false" ht="13.8" hidden="false" customHeight="false" outlineLevel="0" collapsed="false">
      <c r="A470" s="5" t="s">
        <v>141</v>
      </c>
      <c r="B470" s="6" t="n">
        <v>45748</v>
      </c>
      <c r="C470" s="7" t="n">
        <v>45743</v>
      </c>
      <c r="D470" s="7" t="n">
        <v>45777</v>
      </c>
      <c r="E470" s="5" t="s">
        <v>230</v>
      </c>
      <c r="F470" s="8" t="n">
        <v>2500</v>
      </c>
      <c r="G470" s="8" t="n">
        <v>2500</v>
      </c>
      <c r="H470" s="9" t="s">
        <v>231</v>
      </c>
      <c r="I470" s="9"/>
      <c r="K470" s="9"/>
      <c r="L470" s="1" t="str">
        <f aca="false">IFERROR(G470/J470,"")</f>
        <v/>
      </c>
    </row>
    <row r="471" customFormat="false" ht="13.8" hidden="false" customHeight="false" outlineLevel="0" collapsed="false">
      <c r="A471" s="5" t="s">
        <v>141</v>
      </c>
      <c r="B471" s="6" t="n">
        <v>45748</v>
      </c>
      <c r="C471" s="7" t="n">
        <v>45743</v>
      </c>
      <c r="D471" s="7" t="n">
        <v>45777</v>
      </c>
      <c r="E471" s="5" t="s">
        <v>232</v>
      </c>
      <c r="F471" s="8" t="n">
        <v>2500</v>
      </c>
      <c r="G471" s="8" t="n">
        <v>2500</v>
      </c>
      <c r="H471" s="9"/>
      <c r="I471" s="9"/>
      <c r="K471" s="9"/>
      <c r="L471" s="1" t="str">
        <f aca="false">IFERROR(G471/J471,"")</f>
        <v/>
      </c>
    </row>
    <row r="472" customFormat="false" ht="13.8" hidden="false" customHeight="false" outlineLevel="0" collapsed="false">
      <c r="A472" s="5" t="s">
        <v>17</v>
      </c>
      <c r="B472" s="6" t="n">
        <v>45748</v>
      </c>
      <c r="C472" s="7" t="n">
        <v>45772</v>
      </c>
      <c r="D472" s="7" t="n">
        <v>45777</v>
      </c>
      <c r="E472" s="5" t="s">
        <v>156</v>
      </c>
      <c r="F472" s="8" t="n">
        <v>750</v>
      </c>
      <c r="G472" s="8" t="n">
        <v>600</v>
      </c>
      <c r="H472" s="9"/>
      <c r="I472" s="9" t="s">
        <v>139</v>
      </c>
      <c r="K472" s="9" t="s">
        <v>157</v>
      </c>
      <c r="L472" s="1" t="str">
        <f aca="false">IFERROR(G472/J472,"")</f>
        <v/>
      </c>
    </row>
    <row r="473" customFormat="false" ht="13.8" hidden="false" customHeight="false" outlineLevel="0" collapsed="false">
      <c r="A473" s="5" t="s">
        <v>141</v>
      </c>
      <c r="B473" s="6" t="n">
        <v>45748</v>
      </c>
      <c r="C473" s="7" t="n">
        <v>45743</v>
      </c>
      <c r="D473" s="7" t="n">
        <v>45777</v>
      </c>
      <c r="E473" s="5" t="s">
        <v>233</v>
      </c>
      <c r="F473" s="8" t="n">
        <v>1200</v>
      </c>
      <c r="G473" s="8" t="n">
        <v>1200</v>
      </c>
      <c r="H473" s="9"/>
      <c r="I473" s="9"/>
      <c r="K473" s="9"/>
      <c r="L473" s="1" t="str">
        <f aca="false">IFERROR(G473/J473,"")</f>
        <v/>
      </c>
    </row>
    <row r="474" customFormat="false" ht="13.8" hidden="false" customHeight="false" outlineLevel="0" collapsed="false">
      <c r="A474" s="10" t="s">
        <v>12</v>
      </c>
      <c r="B474" s="6" t="n">
        <v>45748</v>
      </c>
      <c r="C474" s="7" t="n">
        <v>45748</v>
      </c>
      <c r="D474" s="7" t="n">
        <v>45777</v>
      </c>
      <c r="E474" s="5" t="s">
        <v>234</v>
      </c>
      <c r="F474" s="8" t="n">
        <v>4995</v>
      </c>
      <c r="G474" s="8" t="n">
        <v>4995</v>
      </c>
      <c r="H474" s="9"/>
      <c r="I474" s="9"/>
      <c r="K474" s="9"/>
      <c r="L474" s="1" t="str">
        <f aca="false">IFERROR(G474/J474,"")</f>
        <v/>
      </c>
    </row>
    <row r="475" customFormat="false" ht="13.8" hidden="false" customHeight="false" outlineLevel="0" collapsed="false">
      <c r="A475" s="5" t="s">
        <v>17</v>
      </c>
      <c r="B475" s="6" t="n">
        <v>45748</v>
      </c>
      <c r="C475" s="7" t="n">
        <v>45758</v>
      </c>
      <c r="D475" s="7" t="n">
        <v>45777</v>
      </c>
      <c r="E475" s="5" t="s">
        <v>235</v>
      </c>
      <c r="F475" s="8" t="n">
        <v>2000</v>
      </c>
      <c r="G475" s="8" t="n">
        <v>2000</v>
      </c>
      <c r="H475" s="9"/>
      <c r="I475" s="9" t="s">
        <v>139</v>
      </c>
      <c r="K475" s="9"/>
      <c r="L475" s="1" t="str">
        <f aca="false">IFERROR(G475/J475,"")</f>
        <v/>
      </c>
    </row>
    <row r="476" customFormat="false" ht="13.8" hidden="false" customHeight="false" outlineLevel="0" collapsed="false">
      <c r="A476" s="5" t="s">
        <v>12</v>
      </c>
      <c r="B476" s="6" t="n">
        <v>45778</v>
      </c>
      <c r="C476" s="11" t="n">
        <v>45748</v>
      </c>
      <c r="D476" s="11" t="n">
        <v>45777</v>
      </c>
      <c r="E476" s="5" t="s">
        <v>236</v>
      </c>
      <c r="F476" s="8" t="n">
        <v>2000</v>
      </c>
      <c r="G476" s="8" t="n">
        <v>2000</v>
      </c>
      <c r="H476" s="9"/>
      <c r="J476" s="12" t="n">
        <v>4</v>
      </c>
      <c r="L476" s="1" t="n">
        <f aca="false">IFERROR(G476/J476,"")</f>
        <v>500</v>
      </c>
    </row>
    <row r="477" customFormat="false" ht="13.8" hidden="false" customHeight="false" outlineLevel="0" collapsed="false">
      <c r="A477" s="5" t="s">
        <v>12</v>
      </c>
      <c r="B477" s="6" t="n">
        <v>45778</v>
      </c>
      <c r="C477" s="11" t="n">
        <v>45477</v>
      </c>
      <c r="D477" s="11" t="n">
        <v>45777</v>
      </c>
      <c r="E477" s="5" t="s">
        <v>164</v>
      </c>
      <c r="F477" s="8" t="n">
        <v>750</v>
      </c>
      <c r="G477" s="8" t="n">
        <v>750</v>
      </c>
      <c r="H477" s="9"/>
      <c r="J477" s="12" t="n">
        <v>22</v>
      </c>
      <c r="L477" s="1" t="n">
        <f aca="false">IFERROR(G477/J477,"")</f>
        <v>34.0909090909091</v>
      </c>
    </row>
    <row r="478" customFormat="false" ht="13.8" hidden="false" customHeight="false" outlineLevel="0" collapsed="false">
      <c r="A478" s="5" t="s">
        <v>12</v>
      </c>
      <c r="B478" s="6" t="n">
        <v>45778</v>
      </c>
      <c r="C478" s="11" t="n">
        <v>45643</v>
      </c>
      <c r="D478" s="11" t="n">
        <v>45777</v>
      </c>
      <c r="E478" s="5" t="s">
        <v>167</v>
      </c>
      <c r="F478" s="8" t="n">
        <v>12430</v>
      </c>
      <c r="G478" s="8" t="n">
        <v>12430</v>
      </c>
      <c r="H478" s="9" t="s">
        <v>168</v>
      </c>
      <c r="J478" s="12" t="n">
        <v>44</v>
      </c>
      <c r="L478" s="1" t="n">
        <f aca="false">IFERROR(G478/J478,"")</f>
        <v>282.5</v>
      </c>
    </row>
    <row r="479" customFormat="false" ht="13.8" hidden="false" customHeight="false" outlineLevel="0" collapsed="false">
      <c r="A479" s="5" t="s">
        <v>12</v>
      </c>
      <c r="B479" s="6" t="n">
        <v>45778</v>
      </c>
      <c r="C479" s="11" t="n">
        <v>45665</v>
      </c>
      <c r="D479" s="11" t="n">
        <v>45777</v>
      </c>
      <c r="E479" s="5" t="s">
        <v>169</v>
      </c>
      <c r="F479" s="8" t="n">
        <v>4270</v>
      </c>
      <c r="G479" s="8" t="n">
        <v>4270</v>
      </c>
      <c r="H479" s="9"/>
      <c r="J479" s="12" t="n">
        <v>4</v>
      </c>
      <c r="L479" s="1" t="n">
        <f aca="false">IFERROR(G479/J479,"")</f>
        <v>1067.5</v>
      </c>
    </row>
    <row r="480" customFormat="false" ht="13.8" hidden="false" customHeight="false" outlineLevel="0" collapsed="false">
      <c r="A480" s="5" t="s">
        <v>12</v>
      </c>
      <c r="B480" s="6" t="n">
        <v>45778</v>
      </c>
      <c r="C480" s="11" t="n">
        <v>45761</v>
      </c>
      <c r="D480" s="11" t="n">
        <v>45777</v>
      </c>
      <c r="E480" s="5" t="s">
        <v>237</v>
      </c>
      <c r="F480" s="8" t="n">
        <v>1212.27</v>
      </c>
      <c r="G480" s="8" t="n">
        <v>969.816</v>
      </c>
      <c r="H480" s="9"/>
      <c r="I480" s="1" t="s">
        <v>171</v>
      </c>
      <c r="J480" s="12" t="n">
        <v>16</v>
      </c>
      <c r="K480" s="1" t="s">
        <v>238</v>
      </c>
      <c r="L480" s="1" t="n">
        <f aca="false">IFERROR(G480/J480,"")</f>
        <v>60.6135</v>
      </c>
    </row>
    <row r="481" customFormat="false" ht="13.8" hidden="false" customHeight="false" outlineLevel="0" collapsed="false">
      <c r="A481" s="5" t="s">
        <v>12</v>
      </c>
      <c r="B481" s="6" t="n">
        <v>45778</v>
      </c>
      <c r="C481" s="11" t="n">
        <v>45629</v>
      </c>
      <c r="D481" s="11" t="n">
        <v>45777</v>
      </c>
      <c r="E481" s="5" t="s">
        <v>174</v>
      </c>
      <c r="F481" s="8" t="n">
        <v>2000</v>
      </c>
      <c r="G481" s="8" t="n">
        <v>2000</v>
      </c>
      <c r="H481" s="9"/>
      <c r="J481" s="12" t="n">
        <v>22</v>
      </c>
      <c r="L481" s="1" t="n">
        <f aca="false">IFERROR(G481/J481,"")</f>
        <v>90.9090909090909</v>
      </c>
    </row>
    <row r="482" customFormat="false" ht="13.8" hidden="false" customHeight="false" outlineLevel="0" collapsed="false">
      <c r="A482" s="5" t="s">
        <v>12</v>
      </c>
      <c r="B482" s="6" t="n">
        <v>45778</v>
      </c>
      <c r="C482" s="11" t="n">
        <v>45772</v>
      </c>
      <c r="D482" s="11" t="n">
        <v>45777</v>
      </c>
      <c r="E482" s="5" t="s">
        <v>175</v>
      </c>
      <c r="F482" s="8" t="n">
        <v>14580</v>
      </c>
      <c r="G482" s="8" t="n">
        <v>11664</v>
      </c>
      <c r="H482" s="9" t="s">
        <v>176</v>
      </c>
      <c r="I482" s="1" t="s">
        <v>177</v>
      </c>
      <c r="J482" s="12" t="n">
        <v>45</v>
      </c>
      <c r="K482" s="1" t="s">
        <v>172</v>
      </c>
      <c r="L482" s="1" t="n">
        <f aca="false">IFERROR(G482/J482,"")</f>
        <v>259.2</v>
      </c>
    </row>
    <row r="483" customFormat="false" ht="13.8" hidden="false" customHeight="false" outlineLevel="0" collapsed="false">
      <c r="A483" s="5" t="s">
        <v>12</v>
      </c>
      <c r="B483" s="6" t="n">
        <v>45778</v>
      </c>
      <c r="C483" s="11" t="n">
        <v>45670</v>
      </c>
      <c r="D483" s="11" t="n">
        <v>45777</v>
      </c>
      <c r="E483" s="5" t="s">
        <v>178</v>
      </c>
      <c r="F483" s="8" t="n">
        <v>1500</v>
      </c>
      <c r="G483" s="8" t="n">
        <v>1500</v>
      </c>
      <c r="H483" s="9"/>
      <c r="J483" s="12" t="n">
        <v>22</v>
      </c>
      <c r="L483" s="1" t="n">
        <f aca="false">IFERROR(G483/J483,"")</f>
        <v>68.1818181818182</v>
      </c>
    </row>
    <row r="484" customFormat="false" ht="13.8" hidden="false" customHeight="false" outlineLevel="0" collapsed="false">
      <c r="A484" s="5" t="s">
        <v>12</v>
      </c>
      <c r="B484" s="6" t="n">
        <v>45778</v>
      </c>
      <c r="C484" s="11" t="n">
        <v>45743</v>
      </c>
      <c r="D484" s="11" t="n">
        <v>45777</v>
      </c>
      <c r="E484" s="5" t="s">
        <v>181</v>
      </c>
      <c r="F484" s="8" t="n">
        <v>2500</v>
      </c>
      <c r="G484" s="8" t="n">
        <v>2500</v>
      </c>
      <c r="H484" s="9" t="s">
        <v>182</v>
      </c>
      <c r="J484" s="12" t="n">
        <v>22</v>
      </c>
      <c r="K484" s="1" t="s">
        <v>183</v>
      </c>
      <c r="L484" s="1" t="n">
        <f aca="false">IFERROR(G484/J484,"")</f>
        <v>113.636363636364</v>
      </c>
    </row>
    <row r="485" customFormat="false" ht="13.8" hidden="false" customHeight="false" outlineLevel="0" collapsed="false">
      <c r="A485" s="5" t="s">
        <v>12</v>
      </c>
      <c r="B485" s="6" t="n">
        <v>45778</v>
      </c>
      <c r="C485" s="11" t="n">
        <v>45678</v>
      </c>
      <c r="D485" s="11" t="n">
        <v>45777</v>
      </c>
      <c r="E485" s="5" t="s">
        <v>184</v>
      </c>
      <c r="F485" s="8" t="n">
        <v>2200</v>
      </c>
      <c r="G485" s="8" t="n">
        <v>2200</v>
      </c>
      <c r="H485" s="9"/>
      <c r="J485" s="12" t="n">
        <v>22</v>
      </c>
      <c r="L485" s="1" t="n">
        <f aca="false">IFERROR(G485/J485,"")</f>
        <v>100</v>
      </c>
    </row>
    <row r="486" customFormat="false" ht="13.8" hidden="false" customHeight="false" outlineLevel="0" collapsed="false">
      <c r="A486" s="5" t="s">
        <v>12</v>
      </c>
      <c r="B486" s="6" t="n">
        <v>45778</v>
      </c>
      <c r="C486" s="11" t="n">
        <v>45743</v>
      </c>
      <c r="D486" s="11" t="n">
        <v>45777</v>
      </c>
      <c r="E486" s="5" t="s">
        <v>187</v>
      </c>
      <c r="F486" s="8" t="n">
        <v>1250</v>
      </c>
      <c r="G486" s="8" t="n">
        <v>1250</v>
      </c>
      <c r="H486" s="9"/>
      <c r="J486" s="12" t="n">
        <v>11</v>
      </c>
      <c r="L486" s="1" t="n">
        <f aca="false">IFERROR(G486/J486,"")</f>
        <v>113.636363636364</v>
      </c>
    </row>
    <row r="487" customFormat="false" ht="13.8" hidden="false" customHeight="false" outlineLevel="0" collapsed="false">
      <c r="A487" s="5" t="s">
        <v>12</v>
      </c>
      <c r="B487" s="6" t="n">
        <v>45778</v>
      </c>
      <c r="C487" s="11" t="n">
        <v>45743</v>
      </c>
      <c r="D487" s="11" t="n">
        <v>45777</v>
      </c>
      <c r="E487" s="5" t="s">
        <v>187</v>
      </c>
      <c r="F487" s="8" t="n">
        <v>1250</v>
      </c>
      <c r="G487" s="8" t="n">
        <v>1250</v>
      </c>
      <c r="H487" s="9"/>
      <c r="J487" s="12" t="n">
        <v>11</v>
      </c>
      <c r="L487" s="1" t="n">
        <f aca="false">IFERROR(G487/J487,"")</f>
        <v>113.636363636364</v>
      </c>
    </row>
    <row r="488" customFormat="false" ht="13.8" hidden="false" customHeight="false" outlineLevel="0" collapsed="false">
      <c r="A488" s="5" t="s">
        <v>12</v>
      </c>
      <c r="B488" s="6" t="n">
        <v>45778</v>
      </c>
      <c r="C488" s="11" t="n">
        <v>45670</v>
      </c>
      <c r="D488" s="11" t="n">
        <v>45777</v>
      </c>
      <c r="E488" s="5" t="s">
        <v>188</v>
      </c>
      <c r="F488" s="8" t="n">
        <v>1000</v>
      </c>
      <c r="G488" s="8" t="n">
        <v>1000</v>
      </c>
      <c r="H488" s="9"/>
      <c r="J488" s="12" t="n">
        <v>22</v>
      </c>
      <c r="L488" s="1" t="n">
        <f aca="false">IFERROR(G488/J488,"")</f>
        <v>45.4545454545455</v>
      </c>
    </row>
    <row r="489" customFormat="false" ht="13.8" hidden="false" customHeight="false" outlineLevel="0" collapsed="false">
      <c r="A489" s="5" t="s">
        <v>12</v>
      </c>
      <c r="B489" s="6" t="n">
        <v>45778</v>
      </c>
      <c r="C489" s="11" t="n">
        <v>45670</v>
      </c>
      <c r="D489" s="11" t="n">
        <v>45777</v>
      </c>
      <c r="E489" s="5" t="s">
        <v>189</v>
      </c>
      <c r="F489" s="8" t="n">
        <v>1000</v>
      </c>
      <c r="G489" s="8" t="n">
        <v>1000</v>
      </c>
      <c r="H489" s="9"/>
      <c r="J489" s="12" t="n">
        <v>22</v>
      </c>
      <c r="L489" s="1" t="n">
        <f aca="false">IFERROR(G489/J489,"")</f>
        <v>45.4545454545455</v>
      </c>
    </row>
    <row r="490" customFormat="false" ht="13.8" hidden="false" customHeight="false" outlineLevel="0" collapsed="false">
      <c r="A490" s="5" t="s">
        <v>12</v>
      </c>
      <c r="B490" s="6" t="n">
        <v>45778</v>
      </c>
      <c r="C490" s="11" t="n">
        <v>45670</v>
      </c>
      <c r="D490" s="11" t="n">
        <v>45777</v>
      </c>
      <c r="E490" s="5" t="s">
        <v>190</v>
      </c>
      <c r="F490" s="8" t="n">
        <v>500</v>
      </c>
      <c r="G490" s="8" t="n">
        <v>500</v>
      </c>
      <c r="H490" s="9"/>
      <c r="J490" s="12" t="n">
        <v>11</v>
      </c>
      <c r="L490" s="1" t="n">
        <f aca="false">IFERROR(G490/J490,"")</f>
        <v>45.4545454545455</v>
      </c>
    </row>
    <row r="491" customFormat="false" ht="13.8" hidden="false" customHeight="false" outlineLevel="0" collapsed="false">
      <c r="A491" s="5" t="s">
        <v>12</v>
      </c>
      <c r="B491" s="6" t="n">
        <v>45778</v>
      </c>
      <c r="C491" s="11" t="n">
        <v>45665</v>
      </c>
      <c r="D491" s="11" t="n">
        <v>45777</v>
      </c>
      <c r="E491" s="5" t="s">
        <v>191</v>
      </c>
      <c r="F491" s="8" t="n">
        <v>2000</v>
      </c>
      <c r="G491" s="8" t="n">
        <v>2000</v>
      </c>
      <c r="H491" s="9"/>
      <c r="J491" s="12" t="n">
        <v>4</v>
      </c>
      <c r="L491" s="1" t="n">
        <f aca="false">IFERROR(G491/J491,"")</f>
        <v>500</v>
      </c>
    </row>
    <row r="492" customFormat="false" ht="13.8" hidden="false" customHeight="false" outlineLevel="0" collapsed="false">
      <c r="A492" s="5" t="s">
        <v>12</v>
      </c>
      <c r="B492" s="6" t="n">
        <v>45778</v>
      </c>
      <c r="C492" s="11" t="n">
        <v>45670</v>
      </c>
      <c r="D492" s="11" t="n">
        <v>45777</v>
      </c>
      <c r="E492" s="5" t="s">
        <v>192</v>
      </c>
      <c r="F492" s="8" t="n">
        <v>2500</v>
      </c>
      <c r="G492" s="8" t="n">
        <v>2500</v>
      </c>
      <c r="H492" s="9"/>
      <c r="J492" s="12" t="n">
        <v>22</v>
      </c>
      <c r="L492" s="1" t="n">
        <f aca="false">IFERROR(G492/J492,"")</f>
        <v>113.636363636364</v>
      </c>
    </row>
    <row r="493" customFormat="false" ht="13.8" hidden="false" customHeight="false" outlineLevel="0" collapsed="false">
      <c r="A493" s="5" t="s">
        <v>12</v>
      </c>
      <c r="B493" s="6" t="n">
        <v>45778</v>
      </c>
      <c r="C493" s="11" t="n">
        <v>45748</v>
      </c>
      <c r="D493" s="11" t="n">
        <v>45777</v>
      </c>
      <c r="E493" s="5" t="s">
        <v>239</v>
      </c>
      <c r="F493" s="8" t="n">
        <v>35.8</v>
      </c>
      <c r="G493" s="8" t="n">
        <v>28.64</v>
      </c>
      <c r="H493" s="9"/>
      <c r="I493" s="1" t="s">
        <v>152</v>
      </c>
      <c r="J493" s="12" t="n">
        <v>32</v>
      </c>
      <c r="K493" s="1" t="s">
        <v>240</v>
      </c>
      <c r="L493" s="1" t="n">
        <f aca="false">IFERROR(G493/J493,"")</f>
        <v>0.895</v>
      </c>
    </row>
    <row r="494" customFormat="false" ht="13.8" hidden="false" customHeight="false" outlineLevel="0" collapsed="false">
      <c r="A494" s="5" t="s">
        <v>12</v>
      </c>
      <c r="B494" s="6" t="n">
        <v>45778</v>
      </c>
      <c r="C494" s="11" t="n">
        <v>45673</v>
      </c>
      <c r="D494" s="11" t="n">
        <v>45777</v>
      </c>
      <c r="E494" s="5" t="s">
        <v>198</v>
      </c>
      <c r="F494" s="8" t="n">
        <v>2992.5</v>
      </c>
      <c r="G494" s="8" t="n">
        <v>2394</v>
      </c>
      <c r="H494" s="9"/>
      <c r="J494" s="12" t="n">
        <v>22</v>
      </c>
      <c r="K494" s="1" t="s">
        <v>199</v>
      </c>
      <c r="L494" s="1" t="n">
        <f aca="false">IFERROR(G494/J494,"")</f>
        <v>108.818181818182</v>
      </c>
    </row>
    <row r="495" customFormat="false" ht="13.8" hidden="false" customHeight="false" outlineLevel="0" collapsed="false">
      <c r="A495" s="5" t="s">
        <v>12</v>
      </c>
      <c r="B495" s="6" t="n">
        <v>45778</v>
      </c>
      <c r="C495" s="11" t="n">
        <v>45670</v>
      </c>
      <c r="D495" s="11" t="n">
        <v>45777</v>
      </c>
      <c r="E495" s="5" t="s">
        <v>200</v>
      </c>
      <c r="F495" s="8" t="n">
        <v>500</v>
      </c>
      <c r="G495" s="8" t="n">
        <v>500</v>
      </c>
      <c r="H495" s="9"/>
      <c r="J495" s="12" t="n">
        <v>11</v>
      </c>
      <c r="L495" s="1" t="n">
        <f aca="false">IFERROR(G495/J495,"")</f>
        <v>45.4545454545455</v>
      </c>
    </row>
    <row r="496" customFormat="false" ht="13.8" hidden="false" customHeight="false" outlineLevel="0" collapsed="false">
      <c r="A496" s="5" t="s">
        <v>12</v>
      </c>
      <c r="B496" s="6" t="n">
        <v>45778</v>
      </c>
      <c r="C496" s="11" t="n">
        <v>45741</v>
      </c>
      <c r="D496" s="11" t="n">
        <v>45777</v>
      </c>
      <c r="E496" s="5" t="s">
        <v>202</v>
      </c>
      <c r="F496" s="8" t="n">
        <v>6000</v>
      </c>
      <c r="G496" s="8" t="n">
        <v>6000</v>
      </c>
      <c r="H496" s="9"/>
      <c r="J496" s="12" t="n">
        <v>55</v>
      </c>
      <c r="L496" s="1" t="n">
        <f aca="false">IFERROR(G496/J496,"")</f>
        <v>109.090909090909</v>
      </c>
    </row>
    <row r="497" customFormat="false" ht="13.8" hidden="false" customHeight="false" outlineLevel="0" collapsed="false">
      <c r="A497" s="5" t="s">
        <v>12</v>
      </c>
      <c r="B497" s="6" t="n">
        <v>45778</v>
      </c>
      <c r="C497" s="11" t="n">
        <v>45741</v>
      </c>
      <c r="D497" s="11" t="n">
        <v>45777</v>
      </c>
      <c r="E497" s="14" t="s">
        <v>202</v>
      </c>
      <c r="F497" s="8" t="n">
        <v>6000</v>
      </c>
      <c r="G497" s="8" t="n">
        <v>6000</v>
      </c>
      <c r="H497" s="9"/>
      <c r="J497" s="12" t="n">
        <v>55</v>
      </c>
      <c r="L497" s="1" t="n">
        <f aca="false">IFERROR(G497/J497,"")</f>
        <v>109.090909090909</v>
      </c>
    </row>
    <row r="498" customFormat="false" ht="13.8" hidden="false" customHeight="false" outlineLevel="0" collapsed="false">
      <c r="A498" s="5" t="s">
        <v>12</v>
      </c>
      <c r="B498" s="6" t="n">
        <v>45778</v>
      </c>
      <c r="C498" s="11" t="n">
        <v>45741</v>
      </c>
      <c r="D498" s="11" t="n">
        <v>45777</v>
      </c>
      <c r="E498" s="5" t="s">
        <v>202</v>
      </c>
      <c r="F498" s="8" t="n">
        <v>6000</v>
      </c>
      <c r="G498" s="8" t="n">
        <v>6000</v>
      </c>
      <c r="H498" s="9"/>
      <c r="J498" s="12" t="n">
        <v>55</v>
      </c>
      <c r="L498" s="1" t="n">
        <f aca="false">IFERROR(G498/J498,"")</f>
        <v>109.090909090909</v>
      </c>
    </row>
    <row r="499" customFormat="false" ht="13.8" hidden="false" customHeight="false" outlineLevel="0" collapsed="false">
      <c r="A499" s="5" t="s">
        <v>12</v>
      </c>
      <c r="B499" s="6" t="n">
        <v>45778</v>
      </c>
      <c r="C499" s="11" t="n">
        <v>45741</v>
      </c>
      <c r="D499" s="11" t="n">
        <v>45777</v>
      </c>
      <c r="E499" s="5" t="s">
        <v>202</v>
      </c>
      <c r="F499" s="8" t="n">
        <v>6000</v>
      </c>
      <c r="G499" s="8" t="n">
        <v>6000</v>
      </c>
      <c r="H499" s="9"/>
      <c r="J499" s="12" t="n">
        <v>55</v>
      </c>
      <c r="L499" s="1" t="n">
        <f aca="false">IFERROR(G499/J499,"")</f>
        <v>109.090909090909</v>
      </c>
    </row>
    <row r="500" customFormat="false" ht="13.8" hidden="false" customHeight="false" outlineLevel="0" collapsed="false">
      <c r="A500" s="5" t="s">
        <v>12</v>
      </c>
      <c r="B500" s="6" t="n">
        <v>45778</v>
      </c>
      <c r="C500" s="11" t="n">
        <v>45643</v>
      </c>
      <c r="D500" s="11" t="n">
        <v>45777</v>
      </c>
      <c r="E500" s="5" t="s">
        <v>241</v>
      </c>
      <c r="F500" s="8" t="n">
        <v>18645</v>
      </c>
      <c r="G500" s="8" t="n">
        <v>18645</v>
      </c>
      <c r="H500" s="9" t="s">
        <v>182</v>
      </c>
      <c r="J500" s="12" t="n">
        <v>22</v>
      </c>
      <c r="L500" s="1" t="n">
        <f aca="false">IFERROR(G500/J500,"")</f>
        <v>847.5</v>
      </c>
    </row>
    <row r="501" customFormat="false" ht="13.8" hidden="false" customHeight="false" outlineLevel="0" collapsed="false">
      <c r="A501" s="5" t="s">
        <v>12</v>
      </c>
      <c r="B501" s="6" t="n">
        <v>45778</v>
      </c>
      <c r="C501" s="11" t="n">
        <v>45674</v>
      </c>
      <c r="D501" s="11" t="n">
        <v>45777</v>
      </c>
      <c r="E501" s="5" t="s">
        <v>206</v>
      </c>
      <c r="F501" s="8" t="n">
        <v>1500</v>
      </c>
      <c r="G501" s="8" t="n">
        <v>1500</v>
      </c>
      <c r="H501" s="9"/>
      <c r="J501" s="12" t="n">
        <v>4</v>
      </c>
      <c r="L501" s="1" t="n">
        <f aca="false">IFERROR(G501/J501,"")</f>
        <v>375</v>
      </c>
    </row>
    <row r="502" customFormat="false" ht="13.8" hidden="false" customHeight="false" outlineLevel="0" collapsed="false">
      <c r="A502" s="5" t="s">
        <v>12</v>
      </c>
      <c r="B502" s="6" t="n">
        <v>45778</v>
      </c>
      <c r="C502" s="11" t="n">
        <v>45698</v>
      </c>
      <c r="D502" s="11" t="n">
        <v>45777</v>
      </c>
      <c r="E502" s="5" t="s">
        <v>209</v>
      </c>
      <c r="F502" s="8" t="n">
        <v>1300</v>
      </c>
      <c r="G502" s="8" t="n">
        <v>1300</v>
      </c>
      <c r="H502" s="9"/>
      <c r="J502" s="12" t="n">
        <v>22</v>
      </c>
      <c r="L502" s="1" t="n">
        <f aca="false">IFERROR(G502/J502,"")</f>
        <v>59.0909090909091</v>
      </c>
    </row>
    <row r="503" customFormat="false" ht="13.8" hidden="false" customHeight="false" outlineLevel="0" collapsed="false">
      <c r="A503" s="5" t="s">
        <v>12</v>
      </c>
      <c r="B503" s="6" t="n">
        <v>45778</v>
      </c>
      <c r="C503" s="11" t="n">
        <v>45747</v>
      </c>
      <c r="D503" s="11" t="n">
        <v>45777</v>
      </c>
      <c r="E503" s="5" t="s">
        <v>216</v>
      </c>
      <c r="F503" s="8" t="n">
        <v>1000</v>
      </c>
      <c r="G503" s="8" t="n">
        <v>1000</v>
      </c>
      <c r="H503" s="9"/>
      <c r="I503" s="1" t="s">
        <v>217</v>
      </c>
      <c r="J503" s="12" t="n">
        <v>4</v>
      </c>
      <c r="L503" s="1" t="n">
        <f aca="false">IFERROR(G503/J503,"")</f>
        <v>250</v>
      </c>
    </row>
    <row r="504" customFormat="false" ht="13.8" hidden="false" customHeight="false" outlineLevel="0" collapsed="false">
      <c r="A504" s="5" t="s">
        <v>12</v>
      </c>
      <c r="B504" s="6" t="n">
        <v>45778</v>
      </c>
      <c r="C504" s="11" t="n">
        <v>45670</v>
      </c>
      <c r="D504" s="11" t="n">
        <v>45777</v>
      </c>
      <c r="E504" s="5" t="s">
        <v>219</v>
      </c>
      <c r="F504" s="8" t="n">
        <v>1200</v>
      </c>
      <c r="G504" s="8" t="n">
        <v>1200</v>
      </c>
      <c r="H504" s="9"/>
      <c r="J504" s="12" t="n">
        <v>22</v>
      </c>
      <c r="L504" s="1" t="n">
        <f aca="false">IFERROR(G504/J504,"")</f>
        <v>54.5454545454546</v>
      </c>
    </row>
    <row r="505" customFormat="false" ht="13.8" hidden="false" customHeight="false" outlineLevel="0" collapsed="false">
      <c r="A505" s="5" t="s">
        <v>12</v>
      </c>
      <c r="B505" s="6" t="n">
        <v>45778</v>
      </c>
      <c r="C505" s="11" t="n">
        <v>45792</v>
      </c>
      <c r="D505" s="11" t="n">
        <v>45777</v>
      </c>
      <c r="E505" s="5" t="s">
        <v>220</v>
      </c>
      <c r="F505" s="8" t="n">
        <v>3292.85</v>
      </c>
      <c r="G505" s="8" t="n">
        <v>3292.85</v>
      </c>
      <c r="H505" s="9" t="s">
        <v>221</v>
      </c>
      <c r="I505" s="1" t="s">
        <v>222</v>
      </c>
      <c r="J505" s="12" t="n">
        <v>110</v>
      </c>
      <c r="L505" s="1" t="n">
        <f aca="false">IFERROR(G505/J505,"")</f>
        <v>29.935</v>
      </c>
    </row>
    <row r="506" customFormat="false" ht="13.8" hidden="false" customHeight="false" outlineLevel="0" collapsed="false">
      <c r="A506" s="5" t="s">
        <v>12</v>
      </c>
      <c r="B506" s="6" t="n">
        <v>45778</v>
      </c>
      <c r="C506" s="11" t="n">
        <v>45742</v>
      </c>
      <c r="D506" s="11" t="n">
        <v>45777</v>
      </c>
      <c r="E506" s="5" t="s">
        <v>242</v>
      </c>
      <c r="F506" s="8" t="n">
        <v>5000</v>
      </c>
      <c r="G506" s="8" t="n">
        <v>5000</v>
      </c>
      <c r="H506" s="9"/>
      <c r="J506" s="12" t="n">
        <v>4</v>
      </c>
      <c r="L506" s="1" t="n">
        <f aca="false">IFERROR(G506/J506,"")</f>
        <v>1250</v>
      </c>
    </row>
    <row r="507" customFormat="false" ht="13.8" hidden="false" customHeight="false" outlineLevel="0" collapsed="false">
      <c r="A507" s="5" t="s">
        <v>12</v>
      </c>
      <c r="B507" s="6" t="n">
        <v>45778</v>
      </c>
      <c r="C507" s="11" t="n">
        <v>45600</v>
      </c>
      <c r="D507" s="11" t="n">
        <v>45777</v>
      </c>
      <c r="E507" s="5" t="s">
        <v>223</v>
      </c>
      <c r="F507" s="8" t="n">
        <v>1875</v>
      </c>
      <c r="G507" s="8" t="n">
        <v>1500</v>
      </c>
      <c r="H507" s="9"/>
      <c r="J507" s="12" t="n">
        <v>22</v>
      </c>
      <c r="K507" s="1" t="s">
        <v>224</v>
      </c>
      <c r="L507" s="1" t="n">
        <f aca="false">IFERROR(G507/J507,"")</f>
        <v>68.1818181818182</v>
      </c>
    </row>
    <row r="508" customFormat="false" ht="13.8" hidden="false" customHeight="false" outlineLevel="0" collapsed="false">
      <c r="A508" s="5" t="s">
        <v>12</v>
      </c>
      <c r="B508" s="6" t="n">
        <v>45778</v>
      </c>
      <c r="C508" s="11" t="n">
        <v>45749</v>
      </c>
      <c r="D508" s="11" t="n">
        <v>45777</v>
      </c>
      <c r="E508" s="5" t="s">
        <v>223</v>
      </c>
      <c r="F508" s="8" t="n">
        <v>7333</v>
      </c>
      <c r="G508" s="8" t="n">
        <v>5866.4</v>
      </c>
      <c r="H508" s="9"/>
      <c r="J508" s="12" t="n">
        <v>156</v>
      </c>
      <c r="K508" s="1" t="s">
        <v>224</v>
      </c>
      <c r="L508" s="1" t="n">
        <f aca="false">IFERROR(G508/J508,"")</f>
        <v>37.6051282051282</v>
      </c>
    </row>
    <row r="509" customFormat="false" ht="13.8" hidden="false" customHeight="false" outlineLevel="0" collapsed="false">
      <c r="A509" s="5" t="s">
        <v>12</v>
      </c>
      <c r="B509" s="6" t="n">
        <v>45778</v>
      </c>
      <c r="C509" s="11" t="n">
        <v>45749</v>
      </c>
      <c r="D509" s="11" t="n">
        <v>45777</v>
      </c>
      <c r="E509" s="5" t="s">
        <v>223</v>
      </c>
      <c r="F509" s="8" t="n">
        <v>3094</v>
      </c>
      <c r="G509" s="8" t="n">
        <v>2475.2</v>
      </c>
      <c r="H509" s="9"/>
      <c r="J509" s="12" t="n">
        <v>22</v>
      </c>
      <c r="K509" s="1" t="s">
        <v>224</v>
      </c>
      <c r="L509" s="1" t="n">
        <f aca="false">IFERROR(G509/J509,"")</f>
        <v>112.509090909091</v>
      </c>
    </row>
    <row r="510" customFormat="false" ht="13.8" hidden="false" customHeight="false" outlineLevel="0" collapsed="false">
      <c r="A510" s="5" t="s">
        <v>12</v>
      </c>
      <c r="B510" s="6" t="n">
        <v>45778</v>
      </c>
      <c r="C510" s="11" t="n">
        <v>45749</v>
      </c>
      <c r="D510" s="11" t="n">
        <v>45777</v>
      </c>
      <c r="E510" s="5" t="s">
        <v>223</v>
      </c>
      <c r="F510" s="8" t="n">
        <v>3094</v>
      </c>
      <c r="G510" s="8" t="n">
        <v>2475.2</v>
      </c>
      <c r="H510" s="9"/>
      <c r="J510" s="12" t="n">
        <v>22</v>
      </c>
      <c r="K510" s="1" t="s">
        <v>224</v>
      </c>
      <c r="L510" s="1" t="n">
        <f aca="false">IFERROR(G510/J510,"")</f>
        <v>112.509090909091</v>
      </c>
    </row>
    <row r="511" customFormat="false" ht="13.8" hidden="false" customHeight="false" outlineLevel="0" collapsed="false">
      <c r="A511" s="5" t="s">
        <v>12</v>
      </c>
      <c r="B511" s="6" t="n">
        <v>45778</v>
      </c>
      <c r="C511" s="11" t="n">
        <v>45680</v>
      </c>
      <c r="D511" s="11" t="n">
        <v>45777</v>
      </c>
      <c r="E511" s="5" t="s">
        <v>243</v>
      </c>
      <c r="F511" s="8" t="n">
        <v>1500</v>
      </c>
      <c r="G511" s="8" t="n">
        <v>1500</v>
      </c>
      <c r="H511" s="9"/>
      <c r="J511" s="12" t="n">
        <v>22</v>
      </c>
      <c r="L511" s="1" t="n">
        <f aca="false">IFERROR(G511/J511,"")</f>
        <v>68.1818181818182</v>
      </c>
    </row>
    <row r="512" customFormat="false" ht="13.8" hidden="false" customHeight="false" outlineLevel="0" collapsed="false">
      <c r="A512" s="5" t="s">
        <v>12</v>
      </c>
      <c r="B512" s="6" t="n">
        <v>45778</v>
      </c>
      <c r="C512" s="11" t="n">
        <v>45741</v>
      </c>
      <c r="D512" s="11" t="n">
        <v>45777</v>
      </c>
      <c r="E512" s="5" t="s">
        <v>232</v>
      </c>
      <c r="F512" s="8" t="n">
        <v>2500</v>
      </c>
      <c r="G512" s="8" t="n">
        <v>2500</v>
      </c>
      <c r="H512" s="9" t="s">
        <v>244</v>
      </c>
      <c r="J512" s="12" t="n">
        <v>4</v>
      </c>
      <c r="L512" s="1" t="n">
        <f aca="false">IFERROR(G512/J512,"")</f>
        <v>625</v>
      </c>
    </row>
    <row r="513" customFormat="false" ht="13.8" hidden="false" customHeight="false" outlineLevel="0" collapsed="false">
      <c r="A513" s="5" t="s">
        <v>12</v>
      </c>
      <c r="B513" s="6" t="n">
        <v>45778</v>
      </c>
      <c r="C513" s="11" t="n">
        <v>45629</v>
      </c>
      <c r="D513" s="11" t="n">
        <v>45777</v>
      </c>
      <c r="E513" s="5" t="s">
        <v>233</v>
      </c>
      <c r="F513" s="8" t="n">
        <v>1200</v>
      </c>
      <c r="G513" s="8" t="n">
        <v>1200</v>
      </c>
      <c r="H513" s="9"/>
      <c r="J513" s="12" t="n">
        <v>22</v>
      </c>
      <c r="L513" s="1" t="n">
        <f aca="false">IFERROR(G513/J513,"")</f>
        <v>54.5454545454546</v>
      </c>
    </row>
    <row r="514" customFormat="false" ht="13.8" hidden="false" customHeight="false" outlineLevel="0" collapsed="false">
      <c r="A514" s="1" t="s">
        <v>17</v>
      </c>
      <c r="B514" s="1" t="s">
        <v>245</v>
      </c>
      <c r="C514" s="2" t="n">
        <v>45778</v>
      </c>
      <c r="D514" s="2" t="n">
        <v>45779</v>
      </c>
      <c r="E514" s="1" t="s">
        <v>125</v>
      </c>
      <c r="F514" s="1" t="n">
        <v>400</v>
      </c>
      <c r="G514" s="1" t="n">
        <v>400</v>
      </c>
      <c r="I514" s="1" t="s">
        <v>15</v>
      </c>
      <c r="L514" s="1" t="str">
        <f aca="false">IFERROR(G514/J514,"")</f>
        <v/>
      </c>
    </row>
    <row r="515" customFormat="false" ht="13.8" hidden="false" customHeight="false" outlineLevel="0" collapsed="false">
      <c r="A515" s="1" t="s">
        <v>12</v>
      </c>
      <c r="B515" s="1" t="s">
        <v>245</v>
      </c>
      <c r="C515" s="2" t="n">
        <v>45778</v>
      </c>
      <c r="D515" s="2" t="n">
        <v>45779</v>
      </c>
      <c r="E515" s="1" t="s">
        <v>21</v>
      </c>
      <c r="F515" s="1" t="n">
        <v>969.82</v>
      </c>
      <c r="G515" s="1" t="n">
        <v>969.82</v>
      </c>
      <c r="I515" s="1" t="s">
        <v>15</v>
      </c>
      <c r="L515" s="1" t="str">
        <f aca="false">IFERROR(G515/J515,"")</f>
        <v/>
      </c>
    </row>
    <row r="516" customFormat="false" ht="13.8" hidden="false" customHeight="false" outlineLevel="0" collapsed="false">
      <c r="A516" s="5" t="s">
        <v>141</v>
      </c>
      <c r="B516" s="6" t="n">
        <v>45748</v>
      </c>
      <c r="C516" s="7" t="n">
        <v>45758</v>
      </c>
      <c r="D516" s="7" t="n">
        <v>45779</v>
      </c>
      <c r="E516" s="5" t="s">
        <v>246</v>
      </c>
      <c r="F516" s="8" t="n">
        <v>12000</v>
      </c>
      <c r="G516" s="8" t="n">
        <v>12000</v>
      </c>
      <c r="H516" s="9"/>
      <c r="I516" s="9"/>
      <c r="K516" s="9"/>
      <c r="L516" s="1" t="str">
        <f aca="false">IFERROR(G516/J516,"")</f>
        <v/>
      </c>
    </row>
    <row r="517" customFormat="false" ht="13.8" hidden="false" customHeight="false" outlineLevel="0" collapsed="false">
      <c r="A517" s="5" t="s">
        <v>12</v>
      </c>
      <c r="B517" s="6" t="n">
        <v>45778</v>
      </c>
      <c r="C517" s="11" t="n">
        <v>45776</v>
      </c>
      <c r="D517" s="11" t="n">
        <v>45779</v>
      </c>
      <c r="E517" s="5" t="s">
        <v>179</v>
      </c>
      <c r="F517" s="8" t="n">
        <v>1267.19</v>
      </c>
      <c r="G517" s="8" t="n">
        <v>1013.752</v>
      </c>
      <c r="H517" s="9" t="s">
        <v>134</v>
      </c>
      <c r="I517" s="1" t="s">
        <v>127</v>
      </c>
      <c r="J517" s="12" t="n">
        <v>12</v>
      </c>
      <c r="K517" s="1" t="s">
        <v>180</v>
      </c>
      <c r="L517" s="1" t="n">
        <f aca="false">IFERROR(G517/J517,"")</f>
        <v>84.4793333333333</v>
      </c>
    </row>
    <row r="518" customFormat="false" ht="13.8" hidden="false" customHeight="false" outlineLevel="0" collapsed="false">
      <c r="A518" s="5" t="s">
        <v>12</v>
      </c>
      <c r="B518" s="6" t="n">
        <v>45778</v>
      </c>
      <c r="C518" s="11" t="n">
        <v>45776</v>
      </c>
      <c r="D518" s="11" t="n">
        <v>45779</v>
      </c>
      <c r="E518" s="5" t="s">
        <v>179</v>
      </c>
      <c r="F518" s="8" t="n">
        <v>570.77</v>
      </c>
      <c r="G518" s="8" t="n">
        <v>456.616</v>
      </c>
      <c r="H518" s="9" t="s">
        <v>131</v>
      </c>
      <c r="I518" s="1" t="s">
        <v>132</v>
      </c>
      <c r="J518" s="12" t="n">
        <v>12</v>
      </c>
      <c r="K518" s="1" t="s">
        <v>180</v>
      </c>
      <c r="L518" s="1" t="n">
        <f aca="false">IFERROR(G518/J518,"")</f>
        <v>38.0513333333333</v>
      </c>
    </row>
    <row r="519" customFormat="false" ht="13.8" hidden="false" customHeight="false" outlineLevel="0" collapsed="false">
      <c r="A519" s="5" t="s">
        <v>12</v>
      </c>
      <c r="B519" s="6" t="n">
        <v>45778</v>
      </c>
      <c r="C519" s="11" t="n">
        <v>45776</v>
      </c>
      <c r="D519" s="11" t="n">
        <v>45779</v>
      </c>
      <c r="E519" s="5" t="s">
        <v>179</v>
      </c>
      <c r="F519" s="8" t="n">
        <v>1260</v>
      </c>
      <c r="G519" s="8" t="n">
        <v>1008</v>
      </c>
      <c r="H519" s="9" t="s">
        <v>148</v>
      </c>
      <c r="I519" s="1" t="s">
        <v>152</v>
      </c>
      <c r="J519" s="12" t="n">
        <v>12</v>
      </c>
      <c r="K519" s="1" t="s">
        <v>180</v>
      </c>
      <c r="L519" s="1" t="n">
        <f aca="false">IFERROR(G519/J519,"")</f>
        <v>84</v>
      </c>
    </row>
    <row r="520" customFormat="false" ht="13.8" hidden="false" customHeight="false" outlineLevel="0" collapsed="false">
      <c r="A520" s="5" t="s">
        <v>12</v>
      </c>
      <c r="B520" s="6" t="n">
        <v>45778</v>
      </c>
      <c r="C520" s="11" t="n">
        <v>45771</v>
      </c>
      <c r="D520" s="11" t="n">
        <v>45779</v>
      </c>
      <c r="E520" s="5" t="s">
        <v>225</v>
      </c>
      <c r="F520" s="8" t="n">
        <v>962.5</v>
      </c>
      <c r="G520" s="8" t="n">
        <v>770</v>
      </c>
      <c r="H520" s="9" t="s">
        <v>226</v>
      </c>
      <c r="I520" s="1" t="s">
        <v>152</v>
      </c>
      <c r="J520" s="12" t="n">
        <v>24</v>
      </c>
      <c r="K520" s="1" t="s">
        <v>227</v>
      </c>
      <c r="L520" s="1" t="n">
        <f aca="false">IFERROR(G520/J520,"")</f>
        <v>32.0833333333333</v>
      </c>
    </row>
    <row r="521" customFormat="false" ht="13.8" hidden="false" customHeight="false" outlineLevel="0" collapsed="false">
      <c r="A521" s="5" t="s">
        <v>12</v>
      </c>
      <c r="B521" s="6" t="n">
        <v>45778</v>
      </c>
      <c r="C521" s="11" t="n">
        <v>45772</v>
      </c>
      <c r="D521" s="11" t="n">
        <v>45779</v>
      </c>
      <c r="E521" s="5" t="s">
        <v>156</v>
      </c>
      <c r="F521" s="8" t="n">
        <v>500</v>
      </c>
      <c r="G521" s="8" t="n">
        <v>400</v>
      </c>
      <c r="H521" s="9"/>
      <c r="I521" s="1" t="s">
        <v>139</v>
      </c>
      <c r="J521" s="12" t="n">
        <v>10</v>
      </c>
      <c r="K521" s="1" t="s">
        <v>157</v>
      </c>
      <c r="L521" s="1" t="n">
        <f aca="false">IFERROR(G521/J521,"")</f>
        <v>40</v>
      </c>
    </row>
    <row r="522" customFormat="false" ht="13.8" hidden="false" customHeight="false" outlineLevel="0" collapsed="false">
      <c r="A522" s="1" t="s">
        <v>17</v>
      </c>
      <c r="B522" s="1" t="s">
        <v>245</v>
      </c>
      <c r="C522" s="2" t="n">
        <v>45778</v>
      </c>
      <c r="D522" s="2" t="n">
        <v>45781</v>
      </c>
      <c r="E522" s="1" t="s">
        <v>22</v>
      </c>
      <c r="F522" s="1" t="n">
        <v>1680</v>
      </c>
      <c r="G522" s="3" t="n">
        <v>1680</v>
      </c>
      <c r="H522" s="3"/>
      <c r="I522" s="1" t="s">
        <v>15</v>
      </c>
      <c r="L522" s="1" t="str">
        <f aca="false">IFERROR(G522/J522,"")</f>
        <v/>
      </c>
    </row>
    <row r="523" customFormat="false" ht="13.8" hidden="false" customHeight="false" outlineLevel="0" collapsed="false">
      <c r="A523" s="1" t="s">
        <v>12</v>
      </c>
      <c r="B523" s="1" t="s">
        <v>245</v>
      </c>
      <c r="C523" s="2" t="n">
        <v>45778</v>
      </c>
      <c r="D523" s="2" t="n">
        <v>45781</v>
      </c>
      <c r="E523" s="1" t="s">
        <v>22</v>
      </c>
      <c r="F523" s="1" t="n">
        <v>1360</v>
      </c>
      <c r="G523" s="3" t="n">
        <v>1360</v>
      </c>
      <c r="H523" s="3"/>
      <c r="I523" s="1" t="s">
        <v>15</v>
      </c>
      <c r="L523" s="1" t="str">
        <f aca="false">IFERROR(G523/J523,"")</f>
        <v/>
      </c>
    </row>
    <row r="524" customFormat="false" ht="13.8" hidden="false" customHeight="false" outlineLevel="0" collapsed="false">
      <c r="A524" s="5" t="s">
        <v>17</v>
      </c>
      <c r="B524" s="6" t="n">
        <v>45748</v>
      </c>
      <c r="C524" s="7" t="n">
        <v>45748</v>
      </c>
      <c r="D524" s="7" t="n">
        <v>45781</v>
      </c>
      <c r="E524" s="5" t="s">
        <v>239</v>
      </c>
      <c r="F524" s="8" t="n">
        <v>283.78</v>
      </c>
      <c r="G524" s="8" t="n">
        <v>227.024</v>
      </c>
      <c r="H524" s="9"/>
      <c r="I524" s="9" t="s">
        <v>152</v>
      </c>
      <c r="K524" s="9" t="s">
        <v>240</v>
      </c>
      <c r="L524" s="1" t="str">
        <f aca="false">IFERROR(G524/J524,"")</f>
        <v/>
      </c>
    </row>
    <row r="525" customFormat="false" ht="13.8" hidden="false" customHeight="false" outlineLevel="0" collapsed="false">
      <c r="A525" s="5" t="s">
        <v>12</v>
      </c>
      <c r="B525" s="6" t="n">
        <v>45778</v>
      </c>
      <c r="C525" s="11" t="n">
        <v>45764</v>
      </c>
      <c r="D525" s="11" t="n">
        <v>45781</v>
      </c>
      <c r="E525" s="5" t="s">
        <v>170</v>
      </c>
      <c r="F525" s="8" t="n">
        <v>1700</v>
      </c>
      <c r="G525" s="8" t="n">
        <v>1360</v>
      </c>
      <c r="H525" s="9"/>
      <c r="I525" s="1" t="s">
        <v>171</v>
      </c>
      <c r="J525" s="12" t="n">
        <v>20</v>
      </c>
      <c r="K525" s="1" t="s">
        <v>172</v>
      </c>
      <c r="L525" s="1" t="n">
        <f aca="false">IFERROR(G525/J525,"")</f>
        <v>68</v>
      </c>
    </row>
    <row r="526" customFormat="false" ht="13.8" hidden="false" customHeight="false" outlineLevel="0" collapsed="false">
      <c r="A526" s="5" t="s">
        <v>12</v>
      </c>
      <c r="B526" s="6" t="n">
        <v>45778</v>
      </c>
      <c r="C526" s="11" t="n">
        <v>45764</v>
      </c>
      <c r="D526" s="11" t="n">
        <v>45781</v>
      </c>
      <c r="E526" s="5" t="s">
        <v>170</v>
      </c>
      <c r="F526" s="8" t="n">
        <v>2100</v>
      </c>
      <c r="G526" s="8" t="n">
        <v>1680</v>
      </c>
      <c r="H526" s="9"/>
      <c r="I526" s="1" t="s">
        <v>139</v>
      </c>
      <c r="J526" s="12" t="n">
        <v>20</v>
      </c>
      <c r="K526" s="1" t="s">
        <v>172</v>
      </c>
      <c r="L526" s="1" t="n">
        <f aca="false">IFERROR(G526/J526,"")</f>
        <v>84</v>
      </c>
    </row>
    <row r="527" customFormat="false" ht="13.8" hidden="false" customHeight="false" outlineLevel="0" collapsed="false">
      <c r="A527" s="10" t="s">
        <v>12</v>
      </c>
      <c r="B527" s="6" t="n">
        <v>45748</v>
      </c>
      <c r="C527" s="7" t="n">
        <v>45743</v>
      </c>
      <c r="D527" s="7" t="n">
        <v>45785</v>
      </c>
      <c r="E527" s="5" t="s">
        <v>247</v>
      </c>
      <c r="F527" s="8" t="n">
        <v>6160</v>
      </c>
      <c r="G527" s="8" t="n">
        <v>6160</v>
      </c>
      <c r="H527" s="9"/>
      <c r="I527" s="9"/>
      <c r="K527" s="9"/>
      <c r="L527" s="1" t="str">
        <f aca="false">IFERROR(G527/J527,"")</f>
        <v/>
      </c>
    </row>
    <row r="528" customFormat="false" ht="13.8" hidden="false" customHeight="false" outlineLevel="0" collapsed="false">
      <c r="A528" s="1" t="s">
        <v>12</v>
      </c>
      <c r="B528" s="1" t="s">
        <v>129</v>
      </c>
      <c r="C528" s="2" t="n">
        <v>45775</v>
      </c>
      <c r="D528" s="2" t="n">
        <v>45786</v>
      </c>
      <c r="E528" s="1" t="s">
        <v>40</v>
      </c>
      <c r="F528" s="1" t="n">
        <v>1575</v>
      </c>
      <c r="G528" s="3" t="n">
        <v>1575</v>
      </c>
      <c r="H528" s="3"/>
      <c r="I528" s="1" t="s">
        <v>15</v>
      </c>
      <c r="L528" s="1" t="str">
        <f aca="false">IFERROR(G528/J528,"")</f>
        <v/>
      </c>
    </row>
    <row r="529" customFormat="false" ht="13.8" hidden="false" customHeight="false" outlineLevel="0" collapsed="false">
      <c r="A529" s="10" t="s">
        <v>12</v>
      </c>
      <c r="B529" s="6" t="n">
        <v>45748</v>
      </c>
      <c r="C529" s="7" t="n">
        <v>45772</v>
      </c>
      <c r="D529" s="7" t="n">
        <v>45786</v>
      </c>
      <c r="E529" s="5" t="s">
        <v>248</v>
      </c>
      <c r="F529" s="8" t="n">
        <v>1575</v>
      </c>
      <c r="G529" s="8" t="n">
        <v>1575</v>
      </c>
      <c r="H529" s="9"/>
      <c r="I529" s="9" t="s">
        <v>171</v>
      </c>
      <c r="K529" s="9"/>
      <c r="L529" s="1" t="str">
        <f aca="false">IFERROR(G529/J529,"")</f>
        <v/>
      </c>
    </row>
    <row r="530" customFormat="false" ht="13.8" hidden="false" customHeight="false" outlineLevel="0" collapsed="false">
      <c r="A530" s="1" t="s">
        <v>17</v>
      </c>
      <c r="B530" s="1" t="s">
        <v>245</v>
      </c>
      <c r="C530" s="2" t="n">
        <v>45778</v>
      </c>
      <c r="D530" s="2" t="n">
        <v>45787</v>
      </c>
      <c r="E530" s="1" t="s">
        <v>94</v>
      </c>
      <c r="F530" s="1" t="n">
        <v>11664</v>
      </c>
      <c r="G530" s="3" t="n">
        <v>11664</v>
      </c>
      <c r="H530" s="3"/>
      <c r="I530" s="1" t="s">
        <v>15</v>
      </c>
      <c r="L530" s="1" t="str">
        <f aca="false">IFERROR(G530/J530,"")</f>
        <v/>
      </c>
    </row>
    <row r="531" customFormat="false" ht="13.8" hidden="false" customHeight="false" outlineLevel="0" collapsed="false">
      <c r="A531" s="1" t="s">
        <v>17</v>
      </c>
      <c r="B531" s="1" t="s">
        <v>245</v>
      </c>
      <c r="C531" s="2" t="n">
        <v>45782</v>
      </c>
      <c r="D531" s="2" t="n">
        <v>45792</v>
      </c>
      <c r="E531" s="1" t="s">
        <v>249</v>
      </c>
      <c r="F531" s="1" t="n">
        <v>3675</v>
      </c>
      <c r="G531" s="3" t="n">
        <v>3675</v>
      </c>
      <c r="H531" s="3"/>
      <c r="I531" s="1" t="s">
        <v>19</v>
      </c>
      <c r="L531" s="1" t="str">
        <f aca="false">IFERROR(G531/J531,"")</f>
        <v/>
      </c>
    </row>
    <row r="532" customFormat="false" ht="13.8" hidden="false" customHeight="false" outlineLevel="0" collapsed="false">
      <c r="A532" s="5" t="s">
        <v>12</v>
      </c>
      <c r="B532" s="6" t="n">
        <v>45778</v>
      </c>
      <c r="C532" s="11" t="n">
        <v>45782</v>
      </c>
      <c r="D532" s="11" t="n">
        <v>45792</v>
      </c>
      <c r="E532" s="5" t="s">
        <v>250</v>
      </c>
      <c r="F532" s="8" t="n">
        <v>3675</v>
      </c>
      <c r="G532" s="8" t="n">
        <v>3675</v>
      </c>
      <c r="H532" s="9"/>
      <c r="I532" s="1" t="s">
        <v>222</v>
      </c>
      <c r="J532" s="12" t="n">
        <v>75</v>
      </c>
      <c r="L532" s="1" t="n">
        <f aca="false">IFERROR(G532/J532,"")</f>
        <v>49</v>
      </c>
    </row>
    <row r="533" customFormat="false" ht="13.8" hidden="false" customHeight="false" outlineLevel="0" collapsed="false">
      <c r="A533" s="1" t="s">
        <v>50</v>
      </c>
      <c r="B533" s="1" t="s">
        <v>245</v>
      </c>
      <c r="C533" s="2" t="n">
        <v>45789</v>
      </c>
      <c r="D533" s="2" t="n">
        <v>45794</v>
      </c>
      <c r="E533" s="1" t="s">
        <v>251</v>
      </c>
      <c r="F533" s="1" t="n">
        <v>793.64</v>
      </c>
      <c r="G533" s="1" t="n">
        <v>793.64</v>
      </c>
      <c r="I533" s="1" t="s">
        <v>252</v>
      </c>
      <c r="L533" s="1" t="str">
        <f aca="false">IFERROR(G533/J533,"")</f>
        <v/>
      </c>
    </row>
    <row r="534" customFormat="false" ht="13.8" hidden="false" customHeight="false" outlineLevel="0" collapsed="false">
      <c r="A534" s="1" t="s">
        <v>17</v>
      </c>
      <c r="B534" s="1" t="s">
        <v>245</v>
      </c>
      <c r="C534" s="2" t="n">
        <v>45789</v>
      </c>
      <c r="D534" s="2" t="n">
        <v>45794</v>
      </c>
      <c r="E534" s="1" t="s">
        <v>251</v>
      </c>
      <c r="F534" s="1" t="n">
        <v>839.03</v>
      </c>
      <c r="G534" s="1" t="n">
        <v>839.03</v>
      </c>
      <c r="I534" s="1" t="s">
        <v>252</v>
      </c>
      <c r="L534" s="1" t="str">
        <f aca="false">IFERROR(G534/J534,"")</f>
        <v/>
      </c>
    </row>
    <row r="535" customFormat="false" ht="13.8" hidden="false" customHeight="false" outlineLevel="0" collapsed="false">
      <c r="A535" s="1" t="s">
        <v>17</v>
      </c>
      <c r="B535" s="1" t="s">
        <v>245</v>
      </c>
      <c r="C535" s="2" t="n">
        <v>45789</v>
      </c>
      <c r="D535" s="2" t="n">
        <v>45794</v>
      </c>
      <c r="E535" s="1" t="s">
        <v>251</v>
      </c>
      <c r="F535" s="1" t="n">
        <v>250.23</v>
      </c>
      <c r="G535" s="1" t="n">
        <v>250.23</v>
      </c>
      <c r="I535" s="1" t="s">
        <v>252</v>
      </c>
      <c r="L535" s="1" t="str">
        <f aca="false">IFERROR(G535/J535,"")</f>
        <v/>
      </c>
    </row>
    <row r="536" customFormat="false" ht="13.8" hidden="false" customHeight="false" outlineLevel="0" collapsed="false">
      <c r="A536" s="1" t="s">
        <v>12</v>
      </c>
      <c r="B536" s="1" t="s">
        <v>245</v>
      </c>
      <c r="C536" s="2" t="n">
        <v>45789</v>
      </c>
      <c r="D536" s="2" t="n">
        <v>45794</v>
      </c>
      <c r="E536" s="1" t="s">
        <v>251</v>
      </c>
      <c r="F536" s="1" t="n">
        <v>199.64</v>
      </c>
      <c r="G536" s="1" t="n">
        <v>199.64</v>
      </c>
      <c r="I536" s="1" t="s">
        <v>252</v>
      </c>
      <c r="L536" s="1" t="str">
        <f aca="false">IFERROR(G536/J536,"")</f>
        <v/>
      </c>
    </row>
    <row r="537" customFormat="false" ht="13.8" hidden="false" customHeight="false" outlineLevel="0" collapsed="false">
      <c r="A537" s="5" t="s">
        <v>12</v>
      </c>
      <c r="B537" s="6" t="n">
        <v>45778</v>
      </c>
      <c r="C537" s="11" t="n">
        <v>45785</v>
      </c>
      <c r="D537" s="11" t="n">
        <v>45794</v>
      </c>
      <c r="E537" s="5" t="s">
        <v>253</v>
      </c>
      <c r="F537" s="8" t="n">
        <v>199.5</v>
      </c>
      <c r="G537" s="8" t="n">
        <v>199.5</v>
      </c>
      <c r="H537" s="9"/>
      <c r="I537" s="1" t="s">
        <v>254</v>
      </c>
      <c r="J537" s="12" t="n">
        <v>18</v>
      </c>
      <c r="L537" s="1" t="n">
        <f aca="false">IFERROR(G537/J537,"")</f>
        <v>11.0833333333333</v>
      </c>
    </row>
    <row r="538" customFormat="false" ht="13.8" hidden="false" customHeight="false" outlineLevel="0" collapsed="false">
      <c r="A538" s="5" t="s">
        <v>12</v>
      </c>
      <c r="B538" s="6" t="n">
        <v>45778</v>
      </c>
      <c r="C538" s="11" t="n">
        <v>45785</v>
      </c>
      <c r="D538" s="11" t="n">
        <v>45794</v>
      </c>
      <c r="E538" s="5" t="s">
        <v>253</v>
      </c>
      <c r="F538" s="8" t="n">
        <v>838.47</v>
      </c>
      <c r="G538" s="8" t="n">
        <v>838.47</v>
      </c>
      <c r="H538" s="9"/>
      <c r="I538" s="1" t="s">
        <v>255</v>
      </c>
      <c r="J538" s="12" t="n">
        <v>18</v>
      </c>
      <c r="L538" s="1" t="n">
        <f aca="false">IFERROR(G538/J538,"")</f>
        <v>46.5816666666667</v>
      </c>
    </row>
    <row r="539" customFormat="false" ht="13.8" hidden="false" customHeight="false" outlineLevel="0" collapsed="false">
      <c r="A539" s="5" t="s">
        <v>12</v>
      </c>
      <c r="B539" s="6" t="n">
        <v>45778</v>
      </c>
      <c r="C539" s="11" t="n">
        <v>45785</v>
      </c>
      <c r="D539" s="11" t="n">
        <v>45794</v>
      </c>
      <c r="E539" s="5" t="s">
        <v>253</v>
      </c>
      <c r="F539" s="8" t="n">
        <v>249.59</v>
      </c>
      <c r="G539" s="8" t="n">
        <v>249.59</v>
      </c>
      <c r="H539" s="9"/>
      <c r="I539" s="1" t="s">
        <v>256</v>
      </c>
      <c r="J539" s="12"/>
      <c r="L539" s="1" t="str">
        <f aca="false">IFERROR(G539/J539,"")</f>
        <v/>
      </c>
    </row>
    <row r="540" customFormat="false" ht="13.8" hidden="false" customHeight="false" outlineLevel="0" collapsed="false">
      <c r="A540" s="5" t="s">
        <v>12</v>
      </c>
      <c r="B540" s="6" t="n">
        <v>45778</v>
      </c>
      <c r="C540" s="11" t="n">
        <v>45785</v>
      </c>
      <c r="D540" s="11" t="n">
        <v>45794</v>
      </c>
      <c r="E540" s="5" t="s">
        <v>253</v>
      </c>
      <c r="F540" s="8" t="n">
        <v>793.12</v>
      </c>
      <c r="G540" s="8" t="n">
        <v>793.12</v>
      </c>
      <c r="H540" s="9"/>
      <c r="I540" s="1" t="s">
        <v>257</v>
      </c>
      <c r="J540" s="12" t="n">
        <v>18</v>
      </c>
      <c r="L540" s="1" t="n">
        <f aca="false">IFERROR(G540/J540,"")</f>
        <v>44.0622222222222</v>
      </c>
    </row>
    <row r="541" customFormat="false" ht="13.8" hidden="false" customHeight="false" outlineLevel="0" collapsed="false">
      <c r="A541" s="1" t="s">
        <v>17</v>
      </c>
      <c r="B541" s="1" t="s">
        <v>129</v>
      </c>
      <c r="C541" s="2" t="n">
        <v>45767</v>
      </c>
      <c r="D541" s="2" t="n">
        <v>45795</v>
      </c>
      <c r="E541" s="1" t="s">
        <v>27</v>
      </c>
      <c r="F541" s="1" t="n">
        <v>3960</v>
      </c>
      <c r="G541" s="3" t="n">
        <v>3960</v>
      </c>
      <c r="H541" s="3"/>
      <c r="I541" s="1" t="s">
        <v>15</v>
      </c>
      <c r="L541" s="1" t="str">
        <f aca="false">IFERROR(G541/J541,"")</f>
        <v/>
      </c>
    </row>
    <row r="542" customFormat="false" ht="13.8" hidden="false" customHeight="false" outlineLevel="0" collapsed="false">
      <c r="A542" s="1" t="s">
        <v>12</v>
      </c>
      <c r="B542" s="1" t="s">
        <v>245</v>
      </c>
      <c r="C542" s="2" t="n">
        <v>45784</v>
      </c>
      <c r="D542" s="2" t="n">
        <v>45796</v>
      </c>
      <c r="E542" s="1" t="s">
        <v>31</v>
      </c>
      <c r="F542" s="1" t="n">
        <v>8488.48</v>
      </c>
      <c r="G542" s="3" t="n">
        <v>8488.48</v>
      </c>
      <c r="H542" s="3"/>
      <c r="I542" s="1" t="s">
        <v>19</v>
      </c>
      <c r="L542" s="1" t="str">
        <f aca="false">IFERROR(G542/J542,"")</f>
        <v/>
      </c>
    </row>
    <row r="543" customFormat="false" ht="13.8" hidden="false" customHeight="false" outlineLevel="0" collapsed="false">
      <c r="A543" s="5" t="s">
        <v>12</v>
      </c>
      <c r="B543" s="6" t="n">
        <v>45778</v>
      </c>
      <c r="C543" s="11" t="n">
        <v>45784</v>
      </c>
      <c r="D543" s="11" t="n">
        <v>45796</v>
      </c>
      <c r="E543" s="5" t="s">
        <v>258</v>
      </c>
      <c r="F543" s="8" t="n">
        <v>8488.48</v>
      </c>
      <c r="G543" s="8" t="n">
        <v>8488.48</v>
      </c>
      <c r="H543" s="9" t="s">
        <v>137</v>
      </c>
      <c r="I543" s="1" t="s">
        <v>155</v>
      </c>
      <c r="J543" s="12" t="n">
        <v>195</v>
      </c>
      <c r="L543" s="1" t="n">
        <f aca="false">IFERROR(G543/J543,"")</f>
        <v>43.5306666666667</v>
      </c>
    </row>
    <row r="544" customFormat="false" ht="13.8" hidden="false" customHeight="false" outlineLevel="0" collapsed="false">
      <c r="A544" s="1" t="s">
        <v>12</v>
      </c>
      <c r="B544" s="1" t="s">
        <v>245</v>
      </c>
      <c r="C544" s="2" t="n">
        <v>45800</v>
      </c>
      <c r="D544" s="2" t="n">
        <v>45800</v>
      </c>
      <c r="E544" s="1" t="s">
        <v>79</v>
      </c>
      <c r="F544" s="1" t="n">
        <v>800</v>
      </c>
      <c r="G544" s="1" t="n">
        <v>800</v>
      </c>
      <c r="I544" s="1" t="s">
        <v>15</v>
      </c>
      <c r="L544" s="1" t="str">
        <f aca="false">IFERROR(G544/J544,"")</f>
        <v/>
      </c>
    </row>
    <row r="545" customFormat="false" ht="13.8" hidden="false" customHeight="false" outlineLevel="0" collapsed="false">
      <c r="A545" s="5" t="s">
        <v>12</v>
      </c>
      <c r="B545" s="6" t="n">
        <v>45778</v>
      </c>
      <c r="C545" s="11" t="n">
        <v>45799</v>
      </c>
      <c r="D545" s="11" t="n">
        <v>45800</v>
      </c>
      <c r="E545" s="5" t="s">
        <v>259</v>
      </c>
      <c r="F545" s="8" t="n">
        <v>1000</v>
      </c>
      <c r="G545" s="8" t="n">
        <v>800</v>
      </c>
      <c r="H545" s="9"/>
      <c r="I545" s="1" t="s">
        <v>171</v>
      </c>
      <c r="J545" s="12" t="n">
        <v>1</v>
      </c>
      <c r="K545" s="1" t="s">
        <v>212</v>
      </c>
      <c r="L545" s="1" t="n">
        <f aca="false">IFERROR(G545/J545,"")</f>
        <v>800</v>
      </c>
    </row>
    <row r="546" customFormat="false" ht="13.8" hidden="false" customHeight="false" outlineLevel="0" collapsed="false">
      <c r="A546" s="1" t="s">
        <v>50</v>
      </c>
      <c r="B546" s="1" t="s">
        <v>129</v>
      </c>
      <c r="C546" s="2" t="n">
        <v>45772</v>
      </c>
      <c r="D546" s="2" t="n">
        <v>45801</v>
      </c>
      <c r="E546" s="1" t="s">
        <v>260</v>
      </c>
      <c r="F546" s="1" t="n">
        <v>1000</v>
      </c>
      <c r="G546" s="3" t="n">
        <v>1000</v>
      </c>
      <c r="H546" s="3"/>
      <c r="I546" s="1" t="s">
        <v>19</v>
      </c>
      <c r="L546" s="1" t="str">
        <f aca="false">IFERROR(G546/J546,"")</f>
        <v/>
      </c>
    </row>
    <row r="547" customFormat="false" ht="13.8" hidden="false" customHeight="false" outlineLevel="0" collapsed="false">
      <c r="A547" s="1" t="s">
        <v>50</v>
      </c>
      <c r="B547" s="1" t="s">
        <v>129</v>
      </c>
      <c r="C547" s="2" t="n">
        <v>45772</v>
      </c>
      <c r="D547" s="2" t="n">
        <v>45801</v>
      </c>
      <c r="E547" s="1" t="s">
        <v>260</v>
      </c>
      <c r="F547" s="1" t="n">
        <v>1000</v>
      </c>
      <c r="G547" s="3" t="n">
        <v>1000</v>
      </c>
      <c r="H547" s="3"/>
      <c r="I547" s="1" t="s">
        <v>19</v>
      </c>
      <c r="L547" s="1" t="str">
        <f aca="false">IFERROR(G547/J547,"")</f>
        <v/>
      </c>
    </row>
    <row r="548" customFormat="false" ht="13.8" hidden="false" customHeight="false" outlineLevel="0" collapsed="false">
      <c r="A548" s="1" t="s">
        <v>12</v>
      </c>
      <c r="B548" s="1" t="s">
        <v>245</v>
      </c>
      <c r="C548" s="2" t="n">
        <v>45782</v>
      </c>
      <c r="D548" s="2" t="n">
        <v>45801</v>
      </c>
      <c r="E548" s="1" t="s">
        <v>121</v>
      </c>
      <c r="F548" s="1" t="n">
        <v>2000</v>
      </c>
      <c r="G548" s="3" t="n">
        <v>2000</v>
      </c>
      <c r="H548" s="3"/>
      <c r="I548" s="1" t="s">
        <v>15</v>
      </c>
      <c r="L548" s="1" t="str">
        <f aca="false">IFERROR(G548/J548,"")</f>
        <v/>
      </c>
    </row>
    <row r="549" customFormat="false" ht="13.8" hidden="false" customHeight="false" outlineLevel="0" collapsed="false">
      <c r="A549" s="5" t="s">
        <v>12</v>
      </c>
      <c r="B549" s="6" t="n">
        <v>45778</v>
      </c>
      <c r="C549" s="11" t="n">
        <v>45770</v>
      </c>
      <c r="D549" s="11" t="n">
        <v>45801</v>
      </c>
      <c r="E549" s="5" t="s">
        <v>261</v>
      </c>
      <c r="F549" s="8" t="n">
        <v>2000</v>
      </c>
      <c r="G549" s="8" t="n">
        <v>2000</v>
      </c>
      <c r="H549" s="9"/>
      <c r="I549" s="1" t="s">
        <v>171</v>
      </c>
      <c r="J549" s="12" t="n">
        <v>230</v>
      </c>
      <c r="L549" s="1" t="n">
        <f aca="false">IFERROR(G549/J549,"")</f>
        <v>8.69565217391304</v>
      </c>
    </row>
    <row r="550" customFormat="false" ht="13.8" hidden="false" customHeight="false" outlineLevel="0" collapsed="false">
      <c r="A550" s="5" t="s">
        <v>141</v>
      </c>
      <c r="B550" s="6" t="n">
        <v>45748</v>
      </c>
      <c r="C550" s="7" t="n">
        <v>45775</v>
      </c>
      <c r="D550" s="7" t="n">
        <v>45804</v>
      </c>
      <c r="E550" s="5" t="s">
        <v>146</v>
      </c>
      <c r="F550" s="8" t="n">
        <v>2500</v>
      </c>
      <c r="G550" s="8" t="n">
        <v>2500</v>
      </c>
      <c r="H550" s="9"/>
      <c r="I550" s="9"/>
      <c r="K550" s="9"/>
      <c r="L550" s="1" t="str">
        <f aca="false">IFERROR(G550/J550,"")</f>
        <v/>
      </c>
    </row>
    <row r="551" customFormat="false" ht="13.8" hidden="false" customHeight="false" outlineLevel="0" collapsed="false">
      <c r="A551" s="1" t="s">
        <v>17</v>
      </c>
      <c r="B551" s="1" t="s">
        <v>129</v>
      </c>
      <c r="C551" s="2" t="n">
        <v>45776</v>
      </c>
      <c r="D551" s="2" t="n">
        <v>45805</v>
      </c>
      <c r="E551" s="1" t="s">
        <v>262</v>
      </c>
      <c r="F551" s="1" t="n">
        <v>1000</v>
      </c>
      <c r="G551" s="3" t="n">
        <v>1000</v>
      </c>
      <c r="H551" s="3"/>
      <c r="I551" s="1" t="s">
        <v>263</v>
      </c>
      <c r="L551" s="1" t="str">
        <f aca="false">IFERROR(G551/J551,"")</f>
        <v/>
      </c>
    </row>
    <row r="552" customFormat="false" ht="13.8" hidden="false" customHeight="false" outlineLevel="0" collapsed="false">
      <c r="A552" s="1" t="s">
        <v>17</v>
      </c>
      <c r="B552" s="1" t="s">
        <v>129</v>
      </c>
      <c r="C552" s="2" t="n">
        <v>45776</v>
      </c>
      <c r="D552" s="2" t="n">
        <v>45805</v>
      </c>
      <c r="E552" s="1" t="s">
        <v>262</v>
      </c>
      <c r="F552" s="1" t="n">
        <v>999</v>
      </c>
      <c r="G552" s="1" t="n">
        <v>999</v>
      </c>
      <c r="I552" s="1" t="s">
        <v>263</v>
      </c>
      <c r="L552" s="1" t="str">
        <f aca="false">IFERROR(G552/J552,"")</f>
        <v/>
      </c>
    </row>
    <row r="553" customFormat="false" ht="13.8" hidden="false" customHeight="false" outlineLevel="0" collapsed="false">
      <c r="A553" s="1" t="s">
        <v>12</v>
      </c>
      <c r="B553" s="1" t="s">
        <v>129</v>
      </c>
      <c r="C553" s="2" t="n">
        <v>45776</v>
      </c>
      <c r="D553" s="2" t="n">
        <v>45805</v>
      </c>
      <c r="E553" s="1" t="s">
        <v>262</v>
      </c>
      <c r="F553" s="1" t="n">
        <v>1000</v>
      </c>
      <c r="G553" s="3" t="n">
        <v>1000</v>
      </c>
      <c r="H553" s="3"/>
      <c r="I553" s="1" t="s">
        <v>263</v>
      </c>
      <c r="L553" s="1" t="str">
        <f aca="false">IFERROR(G553/J553,"")</f>
        <v/>
      </c>
    </row>
    <row r="554" customFormat="false" ht="13.8" hidden="false" customHeight="false" outlineLevel="0" collapsed="false">
      <c r="A554" s="1" t="s">
        <v>17</v>
      </c>
      <c r="B554" s="1" t="s">
        <v>245</v>
      </c>
      <c r="C554" s="2" t="n">
        <v>45800</v>
      </c>
      <c r="D554" s="2" t="n">
        <v>45806</v>
      </c>
      <c r="E554" s="1" t="s">
        <v>33</v>
      </c>
      <c r="F554" s="1" t="n">
        <v>3281.53</v>
      </c>
      <c r="G554" s="3" t="n">
        <v>3281.53</v>
      </c>
      <c r="H554" s="3"/>
      <c r="I554" s="1" t="s">
        <v>15</v>
      </c>
      <c r="L554" s="1" t="str">
        <f aca="false">IFERROR(G554/J554,"")</f>
        <v/>
      </c>
    </row>
    <row r="555" customFormat="false" ht="13.8" hidden="false" customHeight="false" outlineLevel="0" collapsed="false">
      <c r="A555" s="1" t="s">
        <v>12</v>
      </c>
      <c r="B555" s="1" t="s">
        <v>245</v>
      </c>
      <c r="C555" s="2" t="n">
        <v>45806</v>
      </c>
      <c r="D555" s="2" t="n">
        <v>45806</v>
      </c>
      <c r="E555" s="1" t="s">
        <v>72</v>
      </c>
      <c r="F555" s="1" t="n">
        <v>1800</v>
      </c>
      <c r="G555" s="3" t="n">
        <v>1800</v>
      </c>
      <c r="H555" s="3"/>
      <c r="I555" s="1" t="s">
        <v>15</v>
      </c>
      <c r="L555" s="1" t="str">
        <f aca="false">IFERROR(G555/J555,"")</f>
        <v/>
      </c>
    </row>
    <row r="556" customFormat="false" ht="13.8" hidden="false" customHeight="false" outlineLevel="0" collapsed="false">
      <c r="A556" s="5" t="s">
        <v>12</v>
      </c>
      <c r="B556" s="6" t="n">
        <v>45778</v>
      </c>
      <c r="C556" s="11" t="n">
        <v>45792</v>
      </c>
      <c r="D556" s="11" t="n">
        <v>45806</v>
      </c>
      <c r="E556" s="5" t="s">
        <v>264</v>
      </c>
      <c r="F556" s="8" t="n">
        <v>2400</v>
      </c>
      <c r="G556" s="8" t="n">
        <v>2400</v>
      </c>
      <c r="H556" s="9" t="s">
        <v>137</v>
      </c>
      <c r="J556" s="12" t="n">
        <v>48</v>
      </c>
      <c r="L556" s="1" t="n">
        <f aca="false">IFERROR(G556/J556,"")</f>
        <v>50</v>
      </c>
    </row>
    <row r="557" customFormat="false" ht="13.8" hidden="false" customHeight="false" outlineLevel="0" collapsed="false">
      <c r="A557" s="5" t="s">
        <v>17</v>
      </c>
      <c r="B557" s="6" t="n">
        <v>45778</v>
      </c>
      <c r="C557" s="11" t="n">
        <v>45792</v>
      </c>
      <c r="D557" s="11" t="n">
        <v>45806</v>
      </c>
      <c r="E557" s="5" t="s">
        <v>264</v>
      </c>
      <c r="F557" s="8" t="n">
        <v>2475</v>
      </c>
      <c r="G557" s="8" t="n">
        <v>2475</v>
      </c>
      <c r="H557" s="9" t="s">
        <v>221</v>
      </c>
      <c r="J557" s="12" t="n">
        <v>45</v>
      </c>
      <c r="L557" s="1" t="n">
        <f aca="false">IFERROR(G557/J557,"")</f>
        <v>55</v>
      </c>
    </row>
    <row r="558" customFormat="false" ht="13.8" hidden="false" customHeight="false" outlineLevel="0" collapsed="false">
      <c r="A558" s="5" t="s">
        <v>17</v>
      </c>
      <c r="B558" s="6" t="n">
        <v>45778</v>
      </c>
      <c r="C558" s="11" t="n">
        <v>45806</v>
      </c>
      <c r="D558" s="11" t="n">
        <v>45806</v>
      </c>
      <c r="E558" s="5" t="s">
        <v>265</v>
      </c>
      <c r="F558" s="8" t="n">
        <v>1800</v>
      </c>
      <c r="G558" s="8" t="n">
        <v>1800</v>
      </c>
      <c r="H558" s="9" t="s">
        <v>137</v>
      </c>
      <c r="I558" s="1" t="s">
        <v>171</v>
      </c>
      <c r="J558" s="12" t="n">
        <v>1</v>
      </c>
      <c r="L558" s="1" t="n">
        <f aca="false">IFERROR(G558/J558,"")</f>
        <v>1800</v>
      </c>
    </row>
    <row r="559" customFormat="false" ht="13.8" hidden="false" customHeight="false" outlineLevel="0" collapsed="false">
      <c r="A559" s="5" t="s">
        <v>17</v>
      </c>
      <c r="B559" s="6" t="n">
        <v>45778</v>
      </c>
      <c r="C559" s="11" t="n">
        <v>45792</v>
      </c>
      <c r="D559" s="11" t="n">
        <v>45806</v>
      </c>
      <c r="E559" s="5" t="s">
        <v>266</v>
      </c>
      <c r="F559" s="8" t="n">
        <v>3281.53</v>
      </c>
      <c r="G559" s="8" t="n">
        <v>3281.53</v>
      </c>
      <c r="H559" s="9"/>
      <c r="I559" s="1" t="s">
        <v>139</v>
      </c>
      <c r="J559" s="12" t="n">
        <v>49</v>
      </c>
      <c r="L559" s="1" t="n">
        <f aca="false">IFERROR(G559/J559,"")</f>
        <v>66.97</v>
      </c>
    </row>
    <row r="560" customFormat="false" ht="13.8" hidden="false" customHeight="false" outlineLevel="0" collapsed="false">
      <c r="A560" s="1" t="s">
        <v>50</v>
      </c>
      <c r="B560" s="1" t="s">
        <v>245</v>
      </c>
      <c r="C560" s="2" t="n">
        <v>45778</v>
      </c>
      <c r="D560" s="2" t="n">
        <v>45807</v>
      </c>
      <c r="E560" s="1" t="s">
        <v>54</v>
      </c>
      <c r="F560" s="1" t="n">
        <v>4000</v>
      </c>
      <c r="G560" s="3" t="n">
        <v>4000</v>
      </c>
      <c r="H560" s="3"/>
      <c r="I560" s="1" t="s">
        <v>15</v>
      </c>
      <c r="L560" s="1" t="str">
        <f aca="false">IFERROR(G560/J560,"")</f>
        <v/>
      </c>
    </row>
    <row r="561" customFormat="false" ht="13.8" hidden="false" customHeight="false" outlineLevel="0" collapsed="false">
      <c r="A561" s="1" t="s">
        <v>50</v>
      </c>
      <c r="B561" s="1" t="s">
        <v>245</v>
      </c>
      <c r="C561" s="2" t="n">
        <v>45778</v>
      </c>
      <c r="D561" s="2" t="n">
        <v>45807</v>
      </c>
      <c r="E561" s="1" t="s">
        <v>80</v>
      </c>
      <c r="F561" s="1" t="n">
        <v>1000.33</v>
      </c>
      <c r="G561" s="3" t="n">
        <v>1000.33</v>
      </c>
      <c r="H561" s="3"/>
      <c r="I561" s="1" t="s">
        <v>19</v>
      </c>
      <c r="L561" s="1" t="str">
        <f aca="false">IFERROR(G561/J561,"")</f>
        <v/>
      </c>
    </row>
    <row r="562" customFormat="false" ht="13.8" hidden="false" customHeight="false" outlineLevel="0" collapsed="false">
      <c r="A562" s="1" t="s">
        <v>50</v>
      </c>
      <c r="B562" s="1" t="s">
        <v>245</v>
      </c>
      <c r="C562" s="2" t="n">
        <v>45778</v>
      </c>
      <c r="D562" s="2" t="n">
        <v>45807</v>
      </c>
      <c r="E562" s="1" t="s">
        <v>110</v>
      </c>
      <c r="F562" s="1" t="n">
        <v>11842.8</v>
      </c>
      <c r="G562" s="3" t="n">
        <v>11842.8</v>
      </c>
      <c r="H562" s="3"/>
      <c r="I562" s="1" t="s">
        <v>19</v>
      </c>
      <c r="L562" s="1" t="str">
        <f aca="false">IFERROR(G562/J562,"")</f>
        <v/>
      </c>
    </row>
    <row r="563" customFormat="false" ht="13.8" hidden="false" customHeight="false" outlineLevel="0" collapsed="false">
      <c r="A563" s="1" t="s">
        <v>17</v>
      </c>
      <c r="B563" s="1" t="s">
        <v>245</v>
      </c>
      <c r="C563" s="2" t="n">
        <v>45778</v>
      </c>
      <c r="D563" s="2" t="n">
        <v>45807</v>
      </c>
      <c r="E563" s="1" t="s">
        <v>112</v>
      </c>
      <c r="F563" s="1" t="n">
        <v>2298.24</v>
      </c>
      <c r="G563" s="3" t="n">
        <v>2298.24</v>
      </c>
      <c r="H563" s="3"/>
      <c r="I563" s="1" t="s">
        <v>15</v>
      </c>
      <c r="L563" s="1" t="str">
        <f aca="false">IFERROR(G563/J563,"")</f>
        <v/>
      </c>
    </row>
    <row r="564" customFormat="false" ht="13.8" hidden="false" customHeight="false" outlineLevel="0" collapsed="false">
      <c r="A564" s="1" t="s">
        <v>17</v>
      </c>
      <c r="B564" s="1" t="s">
        <v>245</v>
      </c>
      <c r="C564" s="2" t="n">
        <v>45778</v>
      </c>
      <c r="D564" s="2" t="n">
        <v>45807</v>
      </c>
      <c r="E564" s="1" t="s">
        <v>118</v>
      </c>
      <c r="F564" s="1" t="n">
        <v>3292.85</v>
      </c>
      <c r="G564" s="3" t="n">
        <v>3292.85</v>
      </c>
      <c r="H564" s="3"/>
      <c r="I564" s="1" t="s">
        <v>19</v>
      </c>
      <c r="L564" s="1" t="str">
        <f aca="false">IFERROR(G564/J564,"")</f>
        <v/>
      </c>
    </row>
    <row r="565" customFormat="false" ht="13.8" hidden="false" customHeight="false" outlineLevel="0" collapsed="false">
      <c r="A565" s="1" t="s">
        <v>12</v>
      </c>
      <c r="B565" s="1" t="s">
        <v>245</v>
      </c>
      <c r="C565" s="2" t="n">
        <v>45778</v>
      </c>
      <c r="D565" s="2" t="n">
        <v>45807</v>
      </c>
      <c r="E565" s="1" t="s">
        <v>110</v>
      </c>
      <c r="F565" s="1" t="n">
        <v>6773.4</v>
      </c>
      <c r="G565" s="3" t="n">
        <v>6773.4</v>
      </c>
      <c r="H565" s="3"/>
      <c r="I565" s="1" t="s">
        <v>19</v>
      </c>
      <c r="L565" s="1" t="str">
        <f aca="false">IFERROR(G565/J565,"")</f>
        <v/>
      </c>
    </row>
    <row r="566" customFormat="false" ht="13.8" hidden="false" customHeight="false" outlineLevel="0" collapsed="false">
      <c r="A566" s="1" t="s">
        <v>12</v>
      </c>
      <c r="B566" s="1" t="s">
        <v>245</v>
      </c>
      <c r="C566" s="2" t="n">
        <v>45779</v>
      </c>
      <c r="D566" s="2" t="n">
        <v>45807</v>
      </c>
      <c r="E566" s="1" t="s">
        <v>109</v>
      </c>
      <c r="F566" s="3" t="n">
        <v>2700</v>
      </c>
      <c r="G566" s="3" t="n">
        <v>2700</v>
      </c>
      <c r="H566" s="3"/>
      <c r="I566" s="1" t="s">
        <v>19</v>
      </c>
      <c r="L566" s="1" t="str">
        <f aca="false">IFERROR(G566/J566,"")</f>
        <v/>
      </c>
    </row>
    <row r="567" customFormat="false" ht="13.8" hidden="false" customHeight="false" outlineLevel="0" collapsed="false">
      <c r="A567" s="1" t="s">
        <v>17</v>
      </c>
      <c r="B567" s="1" t="s">
        <v>245</v>
      </c>
      <c r="C567" s="2" t="n">
        <v>45782</v>
      </c>
      <c r="D567" s="2" t="n">
        <v>45807</v>
      </c>
      <c r="E567" s="1" t="s">
        <v>162</v>
      </c>
      <c r="F567" s="1" t="n">
        <v>3200</v>
      </c>
      <c r="G567" s="3" t="n">
        <v>3200</v>
      </c>
      <c r="H567" s="3"/>
      <c r="I567" s="1" t="s">
        <v>15</v>
      </c>
      <c r="L567" s="1" t="str">
        <f aca="false">IFERROR(G567/J567,"")</f>
        <v/>
      </c>
    </row>
    <row r="568" customFormat="false" ht="13.8" hidden="false" customHeight="false" outlineLevel="0" collapsed="false">
      <c r="A568" s="1" t="s">
        <v>17</v>
      </c>
      <c r="B568" s="1" t="s">
        <v>245</v>
      </c>
      <c r="C568" s="2" t="n">
        <v>45782</v>
      </c>
      <c r="D568" s="2" t="n">
        <v>45807</v>
      </c>
      <c r="E568" s="1" t="s">
        <v>46</v>
      </c>
      <c r="F568" s="1" t="n">
        <v>2160</v>
      </c>
      <c r="G568" s="3" t="n">
        <v>2160</v>
      </c>
      <c r="H568" s="3"/>
      <c r="I568" s="1" t="s">
        <v>15</v>
      </c>
      <c r="L568" s="1" t="str">
        <f aca="false">IFERROR(G568/J568,"")</f>
        <v/>
      </c>
    </row>
    <row r="569" customFormat="false" ht="13.8" hidden="false" customHeight="false" outlineLevel="0" collapsed="false">
      <c r="A569" s="1" t="s">
        <v>17</v>
      </c>
      <c r="B569" s="1" t="s">
        <v>245</v>
      </c>
      <c r="C569" s="2" t="n">
        <v>45782</v>
      </c>
      <c r="D569" s="2" t="n">
        <v>45807</v>
      </c>
      <c r="E569" s="1" t="s">
        <v>119</v>
      </c>
      <c r="F569" s="1" t="n">
        <v>2880</v>
      </c>
      <c r="G569" s="3" t="n">
        <v>2880</v>
      </c>
      <c r="H569" s="3"/>
      <c r="I569" s="1" t="s">
        <v>15</v>
      </c>
      <c r="L569" s="1" t="str">
        <f aca="false">IFERROR(G569/J569,"")</f>
        <v/>
      </c>
    </row>
    <row r="570" customFormat="false" ht="13.8" hidden="false" customHeight="false" outlineLevel="0" collapsed="false">
      <c r="A570" s="1" t="s">
        <v>12</v>
      </c>
      <c r="B570" s="1" t="s">
        <v>245</v>
      </c>
      <c r="C570" s="2" t="n">
        <v>45784</v>
      </c>
      <c r="D570" s="2" t="n">
        <v>45807</v>
      </c>
      <c r="E570" s="1" t="s">
        <v>21</v>
      </c>
      <c r="F570" s="1" t="n">
        <v>4364.17</v>
      </c>
      <c r="G570" s="3" t="n">
        <v>4364.17</v>
      </c>
      <c r="H570" s="3"/>
      <c r="I570" s="1" t="s">
        <v>15</v>
      </c>
      <c r="L570" s="1" t="str">
        <f aca="false">IFERROR(G570/J570,"")</f>
        <v/>
      </c>
    </row>
    <row r="571" customFormat="false" ht="13.8" hidden="false" customHeight="false" outlineLevel="0" collapsed="false">
      <c r="A571" s="1" t="s">
        <v>12</v>
      </c>
      <c r="B571" s="1" t="s">
        <v>245</v>
      </c>
      <c r="C571" s="2" t="n">
        <v>45785</v>
      </c>
      <c r="D571" s="2" t="n">
        <v>45807</v>
      </c>
      <c r="E571" s="1" t="s">
        <v>72</v>
      </c>
      <c r="F571" s="1" t="n">
        <v>4920</v>
      </c>
      <c r="G571" s="3" t="n">
        <v>4920</v>
      </c>
      <c r="H571" s="3"/>
      <c r="I571" s="1" t="s">
        <v>15</v>
      </c>
      <c r="L571" s="1" t="str">
        <f aca="false">IFERROR(G571/J571,"")</f>
        <v/>
      </c>
    </row>
    <row r="572" customFormat="false" ht="13.8" hidden="false" customHeight="false" outlineLevel="0" collapsed="false">
      <c r="A572" s="1" t="s">
        <v>17</v>
      </c>
      <c r="B572" s="1" t="s">
        <v>245</v>
      </c>
      <c r="C572" s="2" t="n">
        <v>45791</v>
      </c>
      <c r="D572" s="2" t="n">
        <v>45807</v>
      </c>
      <c r="E572" s="1" t="s">
        <v>161</v>
      </c>
      <c r="F572" s="1" t="n">
        <v>2400</v>
      </c>
      <c r="G572" s="3" t="n">
        <v>2400</v>
      </c>
      <c r="H572" s="3"/>
      <c r="I572" s="1" t="s">
        <v>15</v>
      </c>
      <c r="L572" s="1" t="str">
        <f aca="false">IFERROR(G572/J572,"")</f>
        <v/>
      </c>
    </row>
    <row r="573" customFormat="false" ht="13.8" hidden="false" customHeight="false" outlineLevel="0" collapsed="false">
      <c r="A573" s="1" t="s">
        <v>17</v>
      </c>
      <c r="B573" s="1" t="s">
        <v>245</v>
      </c>
      <c r="C573" s="2" t="n">
        <v>45791</v>
      </c>
      <c r="D573" s="2" t="n">
        <v>45807</v>
      </c>
      <c r="E573" s="1" t="s">
        <v>160</v>
      </c>
      <c r="F573" s="1" t="n">
        <v>2400</v>
      </c>
      <c r="G573" s="3" t="n">
        <v>2400</v>
      </c>
      <c r="H573" s="3"/>
      <c r="I573" s="1" t="s">
        <v>15</v>
      </c>
      <c r="L573" s="1" t="str">
        <f aca="false">IFERROR(G573/J573,"")</f>
        <v/>
      </c>
    </row>
    <row r="574" customFormat="false" ht="13.8" hidden="false" customHeight="false" outlineLevel="0" collapsed="false">
      <c r="A574" s="5" t="s">
        <v>17</v>
      </c>
      <c r="B574" s="6" t="n">
        <v>45748</v>
      </c>
      <c r="C574" s="7" t="n">
        <v>45755</v>
      </c>
      <c r="D574" s="7" t="n">
        <v>45807</v>
      </c>
      <c r="E574" s="5" t="s">
        <v>267</v>
      </c>
      <c r="F574" s="8" t="n">
        <v>2200</v>
      </c>
      <c r="G574" s="8" t="n">
        <v>1760</v>
      </c>
      <c r="H574" s="9"/>
      <c r="I574" s="9" t="s">
        <v>139</v>
      </c>
      <c r="K574" s="9" t="s">
        <v>214</v>
      </c>
      <c r="L574" s="1" t="str">
        <f aca="false">IFERROR(G574/J574,"")</f>
        <v/>
      </c>
    </row>
    <row r="575" customFormat="false" ht="13.8" hidden="false" customHeight="false" outlineLevel="0" collapsed="false">
      <c r="A575" s="5" t="s">
        <v>17</v>
      </c>
      <c r="B575" s="6" t="n">
        <v>45778</v>
      </c>
      <c r="C575" s="11" t="n">
        <v>45786</v>
      </c>
      <c r="D575" s="11" t="n">
        <v>45807</v>
      </c>
      <c r="E575" s="5" t="s">
        <v>165</v>
      </c>
      <c r="F575" s="8" t="n">
        <v>4029.3</v>
      </c>
      <c r="G575" s="8" t="n">
        <v>3223.44</v>
      </c>
      <c r="H575" s="9"/>
      <c r="J575" s="12" t="n">
        <v>100</v>
      </c>
      <c r="K575" s="1" t="s">
        <v>166</v>
      </c>
      <c r="L575" s="1" t="n">
        <f aca="false">IFERROR(G575/J575,"")</f>
        <v>32.2344</v>
      </c>
    </row>
    <row r="576" customFormat="false" ht="13.8" hidden="false" customHeight="false" outlineLevel="0" collapsed="false">
      <c r="A576" s="5" t="s">
        <v>17</v>
      </c>
      <c r="B576" s="6" t="n">
        <v>45778</v>
      </c>
      <c r="C576" s="11" t="n">
        <v>45783</v>
      </c>
      <c r="D576" s="11" t="n">
        <v>45807</v>
      </c>
      <c r="E576" s="5" t="s">
        <v>268</v>
      </c>
      <c r="F576" s="8" t="n">
        <v>5455.21</v>
      </c>
      <c r="G576" s="8" t="n">
        <v>4364.168</v>
      </c>
      <c r="H576" s="9"/>
      <c r="I576" s="1" t="s">
        <v>171</v>
      </c>
      <c r="J576" s="12" t="n">
        <v>72</v>
      </c>
      <c r="K576" s="1" t="s">
        <v>238</v>
      </c>
      <c r="L576" s="1" t="n">
        <f aca="false">IFERROR(G576/J576,"")</f>
        <v>60.6134444444444</v>
      </c>
    </row>
    <row r="577" customFormat="false" ht="13.8" hidden="false" customHeight="false" outlineLevel="0" collapsed="false">
      <c r="A577" s="5" t="s">
        <v>17</v>
      </c>
      <c r="B577" s="6" t="n">
        <v>45778</v>
      </c>
      <c r="C577" s="11" t="n">
        <v>45785</v>
      </c>
      <c r="D577" s="11" t="n">
        <v>45807</v>
      </c>
      <c r="E577" s="5" t="s">
        <v>193</v>
      </c>
      <c r="F577" s="8" t="n">
        <v>1872.89</v>
      </c>
      <c r="G577" s="8" t="n">
        <v>1498.312</v>
      </c>
      <c r="H577" s="9"/>
      <c r="J577" s="12" t="n">
        <v>40</v>
      </c>
      <c r="K577" s="1" t="s">
        <v>269</v>
      </c>
      <c r="L577" s="1" t="n">
        <f aca="false">IFERROR(G577/J577,"")</f>
        <v>37.4578</v>
      </c>
    </row>
    <row r="578" customFormat="false" ht="13.8" hidden="false" customHeight="false" outlineLevel="0" collapsed="false">
      <c r="A578" s="5" t="s">
        <v>17</v>
      </c>
      <c r="B578" s="6" t="n">
        <v>45778</v>
      </c>
      <c r="C578" s="11" t="n">
        <v>45777</v>
      </c>
      <c r="D578" s="11" t="n">
        <v>45807</v>
      </c>
      <c r="E578" s="5" t="s">
        <v>150</v>
      </c>
      <c r="F578" s="8" t="n">
        <v>2636.25</v>
      </c>
      <c r="G578" s="8" t="n">
        <v>2109</v>
      </c>
      <c r="H578" s="9"/>
      <c r="I578" s="1" t="s">
        <v>152</v>
      </c>
      <c r="J578" s="12" t="n">
        <v>25</v>
      </c>
      <c r="K578" s="1" t="s">
        <v>151</v>
      </c>
      <c r="L578" s="1" t="n">
        <f aca="false">IFERROR(G578/J578,"")</f>
        <v>84.36</v>
      </c>
    </row>
    <row r="579" customFormat="false" ht="13.8" hidden="false" customHeight="false" outlineLevel="0" collapsed="false">
      <c r="A579" s="5" t="s">
        <v>17</v>
      </c>
      <c r="B579" s="6" t="n">
        <v>45778</v>
      </c>
      <c r="C579" s="11" t="n">
        <v>45777</v>
      </c>
      <c r="D579" s="11" t="n">
        <v>45807</v>
      </c>
      <c r="E579" s="5" t="s">
        <v>270</v>
      </c>
      <c r="F579" s="8" t="n">
        <v>2700</v>
      </c>
      <c r="G579" s="8" t="n">
        <v>2160</v>
      </c>
      <c r="H579" s="9"/>
      <c r="I579" s="1" t="s">
        <v>139</v>
      </c>
      <c r="J579" s="12" t="n">
        <v>60</v>
      </c>
      <c r="K579" s="1" t="s">
        <v>204</v>
      </c>
      <c r="L579" s="1" t="n">
        <f aca="false">IFERROR(G579/J579,"")</f>
        <v>36</v>
      </c>
    </row>
    <row r="580" customFormat="false" ht="13.8" hidden="false" customHeight="false" outlineLevel="0" collapsed="false">
      <c r="A580" s="5" t="s">
        <v>17</v>
      </c>
      <c r="B580" s="6" t="n">
        <v>45778</v>
      </c>
      <c r="C580" s="11" t="n">
        <v>45777</v>
      </c>
      <c r="D580" s="11" t="n">
        <v>45807</v>
      </c>
      <c r="E580" s="5" t="s">
        <v>271</v>
      </c>
      <c r="F580" s="8" t="n">
        <v>3600</v>
      </c>
      <c r="G580" s="8" t="n">
        <v>2880</v>
      </c>
      <c r="H580" s="9"/>
      <c r="I580" s="1" t="s">
        <v>139</v>
      </c>
      <c r="J580" s="12" t="n">
        <v>80</v>
      </c>
      <c r="K580" s="1" t="s">
        <v>204</v>
      </c>
      <c r="L580" s="1" t="n">
        <f aca="false">IFERROR(G580/J580,"")</f>
        <v>36</v>
      </c>
    </row>
    <row r="581" customFormat="false" ht="13.8" hidden="false" customHeight="false" outlineLevel="0" collapsed="false">
      <c r="A581" s="5" t="s">
        <v>17</v>
      </c>
      <c r="B581" s="6" t="n">
        <v>45778</v>
      </c>
      <c r="C581" s="11" t="n">
        <v>45785</v>
      </c>
      <c r="D581" s="11" t="n">
        <v>45807</v>
      </c>
      <c r="E581" s="5" t="s">
        <v>265</v>
      </c>
      <c r="F581" s="8" t="n">
        <v>4920</v>
      </c>
      <c r="G581" s="8" t="n">
        <v>4920</v>
      </c>
      <c r="H581" s="9" t="s">
        <v>137</v>
      </c>
      <c r="I581" s="1" t="s">
        <v>171</v>
      </c>
      <c r="J581" s="12" t="n">
        <v>78</v>
      </c>
      <c r="L581" s="1" t="n">
        <f aca="false">IFERROR(G581/J581,"")</f>
        <v>63.0769230769231</v>
      </c>
    </row>
    <row r="582" customFormat="false" ht="13.8" hidden="false" customHeight="false" outlineLevel="0" collapsed="false">
      <c r="A582" s="5" t="s">
        <v>17</v>
      </c>
      <c r="B582" s="6" t="n">
        <v>45778</v>
      </c>
      <c r="C582" s="11" t="n">
        <v>45776</v>
      </c>
      <c r="D582" s="11" t="n">
        <v>45807</v>
      </c>
      <c r="E582" s="5" t="s">
        <v>246</v>
      </c>
      <c r="F582" s="8" t="n">
        <v>12000</v>
      </c>
      <c r="G582" s="8" t="n">
        <v>12000</v>
      </c>
      <c r="H582" s="9"/>
      <c r="J582" s="12" t="n">
        <v>73</v>
      </c>
      <c r="L582" s="1" t="n">
        <f aca="false">IFERROR(G582/J582,"")</f>
        <v>164.383561643836</v>
      </c>
    </row>
    <row r="583" customFormat="false" ht="13.8" hidden="false" customHeight="false" outlineLevel="0" collapsed="false">
      <c r="A583" s="5" t="s">
        <v>17</v>
      </c>
      <c r="B583" s="6" t="n">
        <v>45778</v>
      </c>
      <c r="C583" s="11" t="n">
        <v>45790</v>
      </c>
      <c r="D583" s="11" t="n">
        <v>45807</v>
      </c>
      <c r="E583" s="5" t="s">
        <v>213</v>
      </c>
      <c r="F583" s="8" t="n">
        <v>3000</v>
      </c>
      <c r="G583" s="8" t="n">
        <v>2400</v>
      </c>
      <c r="H583" s="9"/>
      <c r="I583" s="1" t="s">
        <v>139</v>
      </c>
      <c r="J583" s="12" t="n">
        <v>75</v>
      </c>
      <c r="K583" s="1" t="s">
        <v>214</v>
      </c>
      <c r="L583" s="1" t="n">
        <f aca="false">IFERROR(G583/J583,"")</f>
        <v>32</v>
      </c>
    </row>
    <row r="584" customFormat="false" ht="13.8" hidden="false" customHeight="false" outlineLevel="0" collapsed="false">
      <c r="A584" s="5" t="s">
        <v>17</v>
      </c>
      <c r="B584" s="6" t="n">
        <v>45778</v>
      </c>
      <c r="C584" s="11" t="n">
        <v>45790</v>
      </c>
      <c r="D584" s="11" t="n">
        <v>45807</v>
      </c>
      <c r="E584" s="5" t="s">
        <v>272</v>
      </c>
      <c r="F584" s="8" t="n">
        <v>3000</v>
      </c>
      <c r="G584" s="8" t="n">
        <v>2400</v>
      </c>
      <c r="H584" s="9"/>
      <c r="I584" s="1" t="s">
        <v>139</v>
      </c>
      <c r="J584" s="12" t="n">
        <v>75</v>
      </c>
      <c r="K584" s="1" t="s">
        <v>214</v>
      </c>
      <c r="L584" s="1" t="n">
        <f aca="false">IFERROR(G584/J584,"")</f>
        <v>32</v>
      </c>
    </row>
    <row r="585" customFormat="false" ht="13.8" hidden="false" customHeight="false" outlineLevel="0" collapsed="false">
      <c r="A585" s="5" t="s">
        <v>17</v>
      </c>
      <c r="B585" s="6" t="n">
        <v>45778</v>
      </c>
      <c r="C585" s="11" t="n">
        <v>45777</v>
      </c>
      <c r="D585" s="11" t="n">
        <v>45807</v>
      </c>
      <c r="E585" s="5" t="s">
        <v>273</v>
      </c>
      <c r="F585" s="8" t="n">
        <v>1318.68</v>
      </c>
      <c r="G585" s="8" t="n">
        <v>1054.944</v>
      </c>
      <c r="H585" s="9"/>
      <c r="I585" s="1" t="s">
        <v>152</v>
      </c>
      <c r="J585" s="12" t="n">
        <v>12</v>
      </c>
      <c r="K585" s="1" t="s">
        <v>135</v>
      </c>
      <c r="L585" s="1" t="n">
        <f aca="false">IFERROR(G585/J585,"")</f>
        <v>87.912</v>
      </c>
    </row>
    <row r="586" customFormat="false" ht="13.8" hidden="false" customHeight="false" outlineLevel="0" collapsed="false">
      <c r="A586" s="5" t="s">
        <v>17</v>
      </c>
      <c r="B586" s="6" t="n">
        <v>45778</v>
      </c>
      <c r="C586" s="11" t="n">
        <v>45772</v>
      </c>
      <c r="D586" s="11" t="n">
        <v>45807</v>
      </c>
      <c r="E586" s="5" t="s">
        <v>274</v>
      </c>
      <c r="F586" s="8" t="n">
        <v>2872.8</v>
      </c>
      <c r="G586" s="8" t="n">
        <v>2298.24</v>
      </c>
      <c r="H586" s="9"/>
      <c r="I586" s="1" t="s">
        <v>139</v>
      </c>
      <c r="J586" s="12" t="n">
        <v>60</v>
      </c>
      <c r="K586" s="1" t="s">
        <v>157</v>
      </c>
      <c r="L586" s="1" t="n">
        <f aca="false">IFERROR(G586/J586,"")</f>
        <v>38.304</v>
      </c>
    </row>
    <row r="587" customFormat="false" ht="13.8" hidden="false" customHeight="false" outlineLevel="0" collapsed="false">
      <c r="A587" s="5" t="s">
        <v>17</v>
      </c>
      <c r="B587" s="6" t="n">
        <v>45778</v>
      </c>
      <c r="C587" s="11" t="n">
        <v>45755</v>
      </c>
      <c r="D587" s="11" t="n">
        <v>45807</v>
      </c>
      <c r="E587" s="5" t="s">
        <v>267</v>
      </c>
      <c r="F587" s="8" t="n">
        <v>4000</v>
      </c>
      <c r="G587" s="8" t="n">
        <v>3200</v>
      </c>
      <c r="H587" s="9"/>
      <c r="I587" s="1" t="s">
        <v>139</v>
      </c>
      <c r="J587" s="12" t="n">
        <v>100</v>
      </c>
      <c r="K587" s="1" t="s">
        <v>214</v>
      </c>
      <c r="L587" s="1" t="n">
        <f aca="false">IFERROR(G587/J587,"")</f>
        <v>32</v>
      </c>
    </row>
    <row r="588" customFormat="false" ht="13.8" hidden="false" customHeight="false" outlineLevel="0" collapsed="false">
      <c r="A588" s="1" t="s">
        <v>17</v>
      </c>
      <c r="B588" s="1" t="s">
        <v>245</v>
      </c>
      <c r="C588" s="2" t="n">
        <v>45791</v>
      </c>
      <c r="D588" s="2" t="n">
        <v>45808</v>
      </c>
      <c r="E588" s="1" t="s">
        <v>163</v>
      </c>
      <c r="F588" s="1" t="n">
        <v>6400</v>
      </c>
      <c r="G588" s="3" t="n">
        <v>6400</v>
      </c>
      <c r="H588" s="3"/>
      <c r="I588" s="1" t="s">
        <v>15</v>
      </c>
      <c r="L588" s="1" t="str">
        <f aca="false">IFERROR(G588/J588,"")</f>
        <v/>
      </c>
    </row>
    <row r="589" customFormat="false" ht="13.8" hidden="false" customHeight="false" outlineLevel="0" collapsed="false">
      <c r="A589" s="1" t="s">
        <v>12</v>
      </c>
      <c r="B589" s="1" t="s">
        <v>245</v>
      </c>
      <c r="C589" s="2" t="n">
        <v>45797</v>
      </c>
      <c r="D589" s="2" t="n">
        <v>45808</v>
      </c>
      <c r="E589" s="1" t="s">
        <v>31</v>
      </c>
      <c r="F589" s="1" t="n">
        <v>10074.24</v>
      </c>
      <c r="G589" s="3" t="n">
        <v>10074.24</v>
      </c>
      <c r="H589" s="3"/>
      <c r="I589" s="1" t="s">
        <v>19</v>
      </c>
      <c r="L589" s="1" t="str">
        <f aca="false">IFERROR(G589/J589,"")</f>
        <v/>
      </c>
    </row>
    <row r="590" customFormat="false" ht="13.8" hidden="false" customHeight="false" outlineLevel="0" collapsed="false">
      <c r="A590" s="1" t="s">
        <v>17</v>
      </c>
      <c r="B590" s="1" t="s">
        <v>245</v>
      </c>
      <c r="C590" s="2" t="n">
        <v>45806</v>
      </c>
      <c r="D590" s="2" t="n">
        <v>45808</v>
      </c>
      <c r="E590" s="1" t="s">
        <v>22</v>
      </c>
      <c r="F590" s="1" t="n">
        <v>1020</v>
      </c>
      <c r="G590" s="3" t="n">
        <v>1020</v>
      </c>
      <c r="H590" s="3"/>
      <c r="I590" s="1" t="s">
        <v>15</v>
      </c>
      <c r="L590" s="1" t="str">
        <f aca="false">IFERROR(G590/J590,"")</f>
        <v/>
      </c>
    </row>
    <row r="591" customFormat="false" ht="13.8" hidden="false" customHeight="false" outlineLevel="0" collapsed="false">
      <c r="A591" s="1" t="s">
        <v>12</v>
      </c>
      <c r="B591" s="1" t="s">
        <v>245</v>
      </c>
      <c r="C591" s="2" t="n">
        <v>45806</v>
      </c>
      <c r="D591" s="2" t="n">
        <v>45808</v>
      </c>
      <c r="E591" s="1" t="s">
        <v>22</v>
      </c>
      <c r="F591" s="1" t="n">
        <v>1020</v>
      </c>
      <c r="G591" s="3" t="n">
        <v>1020</v>
      </c>
      <c r="H591" s="3"/>
      <c r="I591" s="1" t="s">
        <v>15</v>
      </c>
      <c r="L591" s="1" t="str">
        <f aca="false">IFERROR(G591/J591,"")</f>
        <v/>
      </c>
    </row>
    <row r="592" customFormat="false" ht="13.8" hidden="false" customHeight="false" outlineLevel="0" collapsed="false">
      <c r="A592" s="5" t="s">
        <v>17</v>
      </c>
      <c r="B592" s="6" t="n">
        <v>45748</v>
      </c>
      <c r="C592" s="7" t="n">
        <v>45777</v>
      </c>
      <c r="D592" s="7" t="n">
        <v>45808</v>
      </c>
      <c r="E592" s="15" t="s">
        <v>275</v>
      </c>
      <c r="F592" s="8" t="n">
        <v>3750</v>
      </c>
      <c r="G592" s="8" t="n">
        <v>3000</v>
      </c>
      <c r="H592" s="9"/>
      <c r="I592" s="9" t="s">
        <v>139</v>
      </c>
      <c r="K592" s="9" t="s">
        <v>212</v>
      </c>
      <c r="L592" s="1" t="str">
        <f aca="false">IFERROR(G592/J592,"")</f>
        <v/>
      </c>
    </row>
    <row r="593" customFormat="false" ht="13.8" hidden="false" customHeight="false" outlineLevel="0" collapsed="false">
      <c r="A593" s="5" t="s">
        <v>17</v>
      </c>
      <c r="B593" s="6" t="n">
        <v>45778</v>
      </c>
      <c r="C593" s="11" t="n">
        <v>45805</v>
      </c>
      <c r="D593" s="11" t="n">
        <v>45808</v>
      </c>
      <c r="E593" s="5" t="s">
        <v>170</v>
      </c>
      <c r="F593" s="8" t="n">
        <v>1275</v>
      </c>
      <c r="G593" s="8" t="n">
        <v>1020</v>
      </c>
      <c r="H593" s="9"/>
      <c r="I593" s="1" t="s">
        <v>139</v>
      </c>
      <c r="J593" s="12" t="n">
        <v>15</v>
      </c>
      <c r="K593" s="1" t="s">
        <v>172</v>
      </c>
      <c r="L593" s="1" t="n">
        <f aca="false">IFERROR(G593/J593,"")</f>
        <v>68</v>
      </c>
    </row>
    <row r="594" customFormat="false" ht="13.8" hidden="false" customHeight="false" outlineLevel="0" collapsed="false">
      <c r="A594" s="5" t="s">
        <v>17</v>
      </c>
      <c r="B594" s="6" t="n">
        <v>45778</v>
      </c>
      <c r="C594" s="11" t="n">
        <v>45805</v>
      </c>
      <c r="D594" s="11" t="n">
        <v>45808</v>
      </c>
      <c r="E594" s="5" t="s">
        <v>170</v>
      </c>
      <c r="F594" s="8" t="n">
        <v>1275</v>
      </c>
      <c r="G594" s="8" t="n">
        <v>1020</v>
      </c>
      <c r="H594" s="9"/>
      <c r="I594" s="1" t="s">
        <v>171</v>
      </c>
      <c r="J594" s="12" t="n">
        <v>15</v>
      </c>
      <c r="K594" s="1" t="s">
        <v>172</v>
      </c>
      <c r="L594" s="1" t="n">
        <f aca="false">IFERROR(G594/J594,"")</f>
        <v>68</v>
      </c>
    </row>
    <row r="595" customFormat="false" ht="13.8" hidden="false" customHeight="false" outlineLevel="0" collapsed="false">
      <c r="A595" s="5" t="s">
        <v>17</v>
      </c>
      <c r="B595" s="6" t="n">
        <v>45778</v>
      </c>
      <c r="C595" s="11" t="n">
        <v>45796</v>
      </c>
      <c r="D595" s="11" t="n">
        <v>45808</v>
      </c>
      <c r="E595" s="5" t="s">
        <v>258</v>
      </c>
      <c r="F595" s="8" t="n">
        <v>6442.06</v>
      </c>
      <c r="G595" s="8" t="n">
        <v>6442.06</v>
      </c>
      <c r="H595" s="9" t="s">
        <v>221</v>
      </c>
      <c r="I595" s="1" t="s">
        <v>222</v>
      </c>
      <c r="J595" s="12" t="n">
        <v>109</v>
      </c>
      <c r="L595" s="1" t="n">
        <f aca="false">IFERROR(G595/J595,"")</f>
        <v>59.1014678899083</v>
      </c>
    </row>
    <row r="596" customFormat="false" ht="13.8" hidden="false" customHeight="false" outlineLevel="0" collapsed="false">
      <c r="A596" s="5" t="s">
        <v>17</v>
      </c>
      <c r="B596" s="6" t="n">
        <v>45778</v>
      </c>
      <c r="C596" s="11" t="n">
        <v>45796</v>
      </c>
      <c r="D596" s="11" t="n">
        <v>45808</v>
      </c>
      <c r="E596" s="5" t="s">
        <v>258</v>
      </c>
      <c r="F596" s="8" t="n">
        <v>10074.24</v>
      </c>
      <c r="G596" s="8" t="n">
        <v>10074.24</v>
      </c>
      <c r="H596" s="9" t="s">
        <v>137</v>
      </c>
      <c r="I596" s="1" t="s">
        <v>155</v>
      </c>
      <c r="J596" s="12" t="n">
        <v>204</v>
      </c>
      <c r="L596" s="1" t="n">
        <f aca="false">IFERROR(G596/J596,"")</f>
        <v>49.3835294117647</v>
      </c>
    </row>
    <row r="597" customFormat="false" ht="13.8" hidden="false" customHeight="false" outlineLevel="0" collapsed="false">
      <c r="A597" s="5" t="s">
        <v>17</v>
      </c>
      <c r="B597" s="6" t="n">
        <v>45778</v>
      </c>
      <c r="C597" s="11" t="n">
        <v>45790</v>
      </c>
      <c r="D597" s="11" t="n">
        <v>45808</v>
      </c>
      <c r="E597" s="5" t="s">
        <v>276</v>
      </c>
      <c r="F597" s="8" t="n">
        <v>8000</v>
      </c>
      <c r="G597" s="8" t="n">
        <v>6400</v>
      </c>
      <c r="H597" s="9"/>
      <c r="I597" s="1" t="s">
        <v>139</v>
      </c>
      <c r="J597" s="12" t="n">
        <v>160</v>
      </c>
      <c r="K597" s="1" t="s">
        <v>212</v>
      </c>
      <c r="L597" s="1" t="n">
        <f aca="false">IFERROR(G597/J597,"")</f>
        <v>40</v>
      </c>
    </row>
    <row r="598" customFormat="false" ht="13.8" hidden="false" customHeight="false" outlineLevel="0" collapsed="false">
      <c r="A598" s="5" t="s">
        <v>17</v>
      </c>
      <c r="B598" s="6" t="n">
        <v>45778</v>
      </c>
      <c r="C598" s="11" t="n">
        <v>45793</v>
      </c>
      <c r="D598" s="11" t="n">
        <v>45809</v>
      </c>
      <c r="E598" s="5" t="s">
        <v>277</v>
      </c>
      <c r="F598" s="8" t="n">
        <v>3400</v>
      </c>
      <c r="G598" s="8" t="n">
        <v>3400</v>
      </c>
      <c r="H598" s="9"/>
      <c r="J598" s="12" t="n">
        <v>85</v>
      </c>
      <c r="K598" s="1" t="s">
        <v>278</v>
      </c>
      <c r="L598" s="1" t="n">
        <f aca="false">IFERROR(G598/J598,"")</f>
        <v>40</v>
      </c>
    </row>
    <row r="599" customFormat="false" ht="13.8" hidden="false" customHeight="false" outlineLevel="0" collapsed="false">
      <c r="A599" s="1" t="s">
        <v>12</v>
      </c>
      <c r="B599" s="1" t="s">
        <v>129</v>
      </c>
      <c r="C599" s="2" t="n">
        <v>45748</v>
      </c>
      <c r="D599" s="2" t="n">
        <v>45813</v>
      </c>
      <c r="E599" s="1" t="s">
        <v>279</v>
      </c>
      <c r="F599" s="1" t="n">
        <v>11973</v>
      </c>
      <c r="G599" s="3" t="n">
        <v>11973</v>
      </c>
      <c r="H599" s="3"/>
      <c r="I599" s="1" t="s">
        <v>19</v>
      </c>
      <c r="L599" s="1" t="str">
        <f aca="false">IFERROR(G599/J599,"")</f>
        <v/>
      </c>
    </row>
    <row r="600" customFormat="false" ht="13.8" hidden="false" customHeight="false" outlineLevel="0" collapsed="false">
      <c r="A600" s="10" t="s">
        <v>12</v>
      </c>
      <c r="B600" s="6" t="n">
        <v>45748</v>
      </c>
      <c r="C600" s="7" t="n">
        <v>45747</v>
      </c>
      <c r="D600" s="7" t="n">
        <v>45813</v>
      </c>
      <c r="E600" s="5" t="s">
        <v>280</v>
      </c>
      <c r="F600" s="8" t="n">
        <v>11973</v>
      </c>
      <c r="G600" s="8" t="n">
        <v>11973</v>
      </c>
      <c r="H600" s="9" t="s">
        <v>137</v>
      </c>
      <c r="I600" s="9" t="s">
        <v>155</v>
      </c>
      <c r="K600" s="9"/>
      <c r="L600" s="1" t="str">
        <f aca="false">IFERROR(G600/J600,"")</f>
        <v/>
      </c>
    </row>
    <row r="601" customFormat="false" ht="13.8" hidden="false" customHeight="false" outlineLevel="0" collapsed="false">
      <c r="A601" s="10" t="s">
        <v>12</v>
      </c>
      <c r="B601" s="6" t="n">
        <v>45748</v>
      </c>
      <c r="C601" s="7" t="n">
        <v>45763</v>
      </c>
      <c r="D601" s="7" t="n">
        <v>45814</v>
      </c>
      <c r="E601" s="5" t="s">
        <v>281</v>
      </c>
      <c r="F601" s="8" t="n">
        <v>3000</v>
      </c>
      <c r="G601" s="8" t="n">
        <v>3000</v>
      </c>
      <c r="H601" s="9" t="s">
        <v>282</v>
      </c>
      <c r="I601" s="9"/>
      <c r="K601" s="9"/>
      <c r="L601" s="1" t="str">
        <f aca="false">IFERROR(G601/J601,"")</f>
        <v/>
      </c>
    </row>
    <row r="602" customFormat="false" ht="13.8" hidden="false" customHeight="false" outlineLevel="0" collapsed="false">
      <c r="A602" s="1" t="s">
        <v>17</v>
      </c>
      <c r="B602" s="1" t="s">
        <v>283</v>
      </c>
      <c r="C602" s="2" t="n">
        <v>45809</v>
      </c>
      <c r="D602" s="2" t="n">
        <v>45815</v>
      </c>
      <c r="E602" s="1" t="s">
        <v>31</v>
      </c>
      <c r="F602" s="1" t="n">
        <v>5698.78</v>
      </c>
      <c r="G602" s="3" t="n">
        <v>5698.78</v>
      </c>
      <c r="H602" s="3"/>
      <c r="I602" s="1" t="s">
        <v>19</v>
      </c>
      <c r="L602" s="1" t="str">
        <f aca="false">IFERROR(G602/J602,"")</f>
        <v/>
      </c>
    </row>
    <row r="603" customFormat="false" ht="13.8" hidden="false" customHeight="false" outlineLevel="0" collapsed="false">
      <c r="A603" s="1" t="s">
        <v>12</v>
      </c>
      <c r="B603" s="1" t="s">
        <v>283</v>
      </c>
      <c r="C603" s="2" t="n">
        <v>45809</v>
      </c>
      <c r="D603" s="2" t="n">
        <v>45815</v>
      </c>
      <c r="E603" s="1" t="s">
        <v>31</v>
      </c>
      <c r="F603" s="1" t="n">
        <v>5876.64</v>
      </c>
      <c r="G603" s="3" t="n">
        <v>5876.64</v>
      </c>
      <c r="H603" s="3"/>
      <c r="I603" s="1" t="s">
        <v>19</v>
      </c>
      <c r="L603" s="1" t="str">
        <f aca="false">IFERROR(G603/J603,"")</f>
        <v/>
      </c>
    </row>
    <row r="604" customFormat="false" ht="13.8" hidden="false" customHeight="false" outlineLevel="0" collapsed="false">
      <c r="A604" s="1" t="s">
        <v>12</v>
      </c>
      <c r="B604" s="1" t="s">
        <v>245</v>
      </c>
      <c r="C604" s="2" t="n">
        <v>45805</v>
      </c>
      <c r="D604" s="2" t="n">
        <v>45819</v>
      </c>
      <c r="E604" s="1" t="s">
        <v>40</v>
      </c>
      <c r="F604" s="1" t="n">
        <v>1732.5</v>
      </c>
      <c r="G604" s="3" t="n">
        <v>1732.5</v>
      </c>
      <c r="H604" s="3"/>
      <c r="I604" s="1" t="s">
        <v>15</v>
      </c>
      <c r="L604" s="1" t="str">
        <f aca="false">IFERROR(G604/J604,"")</f>
        <v/>
      </c>
    </row>
    <row r="605" customFormat="false" ht="13.8" hidden="false" customHeight="false" outlineLevel="0" collapsed="false">
      <c r="A605" s="5" t="s">
        <v>17</v>
      </c>
      <c r="B605" s="6" t="n">
        <v>45778</v>
      </c>
      <c r="C605" s="11" t="n">
        <v>45792</v>
      </c>
      <c r="D605" s="11" t="n">
        <v>45819</v>
      </c>
      <c r="E605" s="5" t="s">
        <v>248</v>
      </c>
      <c r="F605" s="8" t="n">
        <v>1732.5</v>
      </c>
      <c r="G605" s="8" t="n">
        <v>1732.5</v>
      </c>
      <c r="H605" s="9"/>
      <c r="I605" s="1" t="s">
        <v>171</v>
      </c>
      <c r="J605" s="12" t="n">
        <v>55</v>
      </c>
      <c r="L605" s="1" t="n">
        <f aca="false">IFERROR(G605/J605,"")</f>
        <v>31.5</v>
      </c>
    </row>
    <row r="606" customFormat="false" ht="13.8" hidden="false" customHeight="false" outlineLevel="0" collapsed="false">
      <c r="A606" s="1" t="s">
        <v>17</v>
      </c>
      <c r="B606" s="1" t="s">
        <v>245</v>
      </c>
      <c r="C606" s="2" t="n">
        <v>45797</v>
      </c>
      <c r="D606" s="2" t="n">
        <v>45820</v>
      </c>
      <c r="E606" s="1" t="s">
        <v>31</v>
      </c>
      <c r="F606" s="1" t="n">
        <v>6442.06</v>
      </c>
      <c r="G606" s="3" t="n">
        <v>6442.06</v>
      </c>
      <c r="H606" s="3"/>
      <c r="I606" s="1" t="s">
        <v>19</v>
      </c>
      <c r="L606" s="1" t="str">
        <f aca="false">IFERROR(G606/J606,"")</f>
        <v/>
      </c>
    </row>
    <row r="607" customFormat="false" ht="13.8" hidden="false" customHeight="false" outlineLevel="0" collapsed="false">
      <c r="A607" s="1" t="s">
        <v>17</v>
      </c>
      <c r="B607" s="1" t="s">
        <v>283</v>
      </c>
      <c r="C607" s="2" t="n">
        <v>45809</v>
      </c>
      <c r="D607" s="2" t="n">
        <v>45820</v>
      </c>
      <c r="E607" s="1" t="s">
        <v>22</v>
      </c>
      <c r="F607" s="1" t="n">
        <v>3876</v>
      </c>
      <c r="G607" s="3" t="n">
        <v>3876</v>
      </c>
      <c r="H607" s="3"/>
      <c r="I607" s="1" t="s">
        <v>15</v>
      </c>
      <c r="L607" s="1" t="str">
        <f aca="false">IFERROR(G607/J607,"")</f>
        <v/>
      </c>
    </row>
    <row r="608" customFormat="false" ht="13.8" hidden="false" customHeight="false" outlineLevel="0" collapsed="false">
      <c r="A608" s="1" t="s">
        <v>12</v>
      </c>
      <c r="B608" s="1" t="s">
        <v>283</v>
      </c>
      <c r="C608" s="2" t="n">
        <v>45809</v>
      </c>
      <c r="D608" s="2" t="n">
        <v>45820</v>
      </c>
      <c r="E608" s="1" t="s">
        <v>22</v>
      </c>
      <c r="F608" s="1" t="n">
        <v>3876</v>
      </c>
      <c r="G608" s="3" t="n">
        <v>3876</v>
      </c>
      <c r="H608" s="3"/>
      <c r="I608" s="1" t="s">
        <v>15</v>
      </c>
      <c r="L608" s="1" t="str">
        <f aca="false">IFERROR(G608/J608,"")</f>
        <v/>
      </c>
    </row>
    <row r="609" customFormat="false" ht="13.8" hidden="false" customHeight="false" outlineLevel="0" collapsed="false">
      <c r="A609" s="1" t="s">
        <v>17</v>
      </c>
      <c r="B609" s="1" t="s">
        <v>245</v>
      </c>
      <c r="C609" s="2" t="n">
        <v>45805</v>
      </c>
      <c r="D609" s="2" t="n">
        <v>45821</v>
      </c>
      <c r="E609" s="1" t="s">
        <v>284</v>
      </c>
      <c r="F609" s="1" t="n">
        <v>2080</v>
      </c>
      <c r="G609" s="3" t="n">
        <v>2080</v>
      </c>
      <c r="H609" s="3"/>
      <c r="I609" s="1" t="s">
        <v>19</v>
      </c>
      <c r="L609" s="1" t="str">
        <f aca="false">IFERROR(G609/J609,"")</f>
        <v/>
      </c>
    </row>
    <row r="610" customFormat="false" ht="13.8" hidden="false" customHeight="false" outlineLevel="0" collapsed="false">
      <c r="A610" s="1" t="s">
        <v>12</v>
      </c>
      <c r="B610" s="1" t="s">
        <v>245</v>
      </c>
      <c r="C610" s="2" t="n">
        <v>45805</v>
      </c>
      <c r="D610" s="2" t="n">
        <v>45821</v>
      </c>
      <c r="E610" s="1" t="s">
        <v>284</v>
      </c>
      <c r="F610" s="1" t="n">
        <v>2080</v>
      </c>
      <c r="G610" s="3" t="n">
        <v>2080</v>
      </c>
      <c r="H610" s="3"/>
      <c r="I610" s="1" t="s">
        <v>19</v>
      </c>
      <c r="L610" s="1" t="str">
        <f aca="false">IFERROR(G610/J610,"")</f>
        <v/>
      </c>
    </row>
    <row r="611" customFormat="false" ht="13.8" hidden="false" customHeight="false" outlineLevel="0" collapsed="false">
      <c r="A611" s="1" t="s">
        <v>17</v>
      </c>
      <c r="B611" s="1" t="s">
        <v>283</v>
      </c>
      <c r="C611" s="2" t="n">
        <v>45815</v>
      </c>
      <c r="D611" s="2" t="n">
        <v>45821</v>
      </c>
      <c r="E611" s="1" t="s">
        <v>285</v>
      </c>
      <c r="F611" s="1" t="n">
        <v>3500</v>
      </c>
      <c r="G611" s="3" t="n">
        <v>3500</v>
      </c>
      <c r="H611" s="3"/>
      <c r="I611" s="1" t="s">
        <v>15</v>
      </c>
      <c r="L611" s="1" t="str">
        <f aca="false">IFERROR(G611/J611,"")</f>
        <v/>
      </c>
    </row>
    <row r="612" customFormat="false" ht="13.8" hidden="false" customHeight="false" outlineLevel="0" collapsed="false">
      <c r="A612" s="1" t="s">
        <v>12</v>
      </c>
      <c r="B612" s="1" t="s">
        <v>283</v>
      </c>
      <c r="C612" s="2" t="n">
        <v>45815</v>
      </c>
      <c r="D612" s="2" t="n">
        <v>45821</v>
      </c>
      <c r="E612" s="1" t="s">
        <v>285</v>
      </c>
      <c r="F612" s="1" t="n">
        <v>2500</v>
      </c>
      <c r="G612" s="3" t="n">
        <v>2500</v>
      </c>
      <c r="H612" s="3"/>
      <c r="I612" s="1" t="s">
        <v>15</v>
      </c>
      <c r="L612" s="1" t="str">
        <f aca="false">IFERROR(G612/J612,"")</f>
        <v/>
      </c>
    </row>
    <row r="613" customFormat="false" ht="13.8" hidden="false" customHeight="false" outlineLevel="0" collapsed="false">
      <c r="A613" s="5" t="s">
        <v>17</v>
      </c>
      <c r="B613" s="6" t="n">
        <v>45778</v>
      </c>
      <c r="C613" s="11" t="n">
        <v>45804</v>
      </c>
      <c r="D613" s="11" t="n">
        <v>45821</v>
      </c>
      <c r="E613" s="5" t="s">
        <v>286</v>
      </c>
      <c r="F613" s="8" t="n">
        <v>1800</v>
      </c>
      <c r="G613" s="8" t="n">
        <v>1800</v>
      </c>
      <c r="H613" s="9"/>
      <c r="J613" s="12" t="n">
        <v>13</v>
      </c>
      <c r="L613" s="1" t="n">
        <f aca="false">IFERROR(G613/J613,"")</f>
        <v>138.461538461538</v>
      </c>
    </row>
    <row r="614" customFormat="false" ht="13.8" hidden="false" customHeight="false" outlineLevel="0" collapsed="false">
      <c r="A614" s="5" t="s">
        <v>17</v>
      </c>
      <c r="B614" s="6" t="n">
        <v>45778</v>
      </c>
      <c r="C614" s="11" t="n">
        <v>45804</v>
      </c>
      <c r="D614" s="11" t="n">
        <v>45821</v>
      </c>
      <c r="E614" s="5" t="s">
        <v>287</v>
      </c>
      <c r="F614" s="8" t="n">
        <v>2080</v>
      </c>
      <c r="G614" s="8" t="n">
        <v>2080</v>
      </c>
      <c r="H614" s="9"/>
      <c r="I614" s="1" t="s">
        <v>222</v>
      </c>
      <c r="J614" s="12" t="n">
        <v>104</v>
      </c>
      <c r="L614" s="1" t="n">
        <f aca="false">IFERROR(G614/J614,"")</f>
        <v>20</v>
      </c>
    </row>
    <row r="615" customFormat="false" ht="13.8" hidden="false" customHeight="false" outlineLevel="0" collapsed="false">
      <c r="A615" s="5" t="s">
        <v>17</v>
      </c>
      <c r="B615" s="6" t="n">
        <v>45778</v>
      </c>
      <c r="C615" s="11" t="n">
        <v>45804</v>
      </c>
      <c r="D615" s="11" t="n">
        <v>45821</v>
      </c>
      <c r="E615" s="5" t="s">
        <v>287</v>
      </c>
      <c r="F615" s="8" t="n">
        <v>2080</v>
      </c>
      <c r="G615" s="8" t="n">
        <v>2080</v>
      </c>
      <c r="H615" s="9"/>
      <c r="I615" s="1" t="s">
        <v>155</v>
      </c>
      <c r="J615" s="12" t="n">
        <v>104</v>
      </c>
      <c r="L615" s="1" t="n">
        <f aca="false">IFERROR(G615/J615,"")</f>
        <v>20</v>
      </c>
    </row>
    <row r="616" customFormat="false" ht="13.8" hidden="false" customHeight="false" outlineLevel="0" collapsed="false">
      <c r="A616" s="1" t="s">
        <v>12</v>
      </c>
      <c r="B616" s="1" t="s">
        <v>283</v>
      </c>
      <c r="C616" s="2" t="n">
        <v>45821</v>
      </c>
      <c r="D616" s="2" t="n">
        <v>45824</v>
      </c>
      <c r="E616" s="1" t="s">
        <v>288</v>
      </c>
      <c r="F616" s="1" t="n">
        <v>1707.92</v>
      </c>
      <c r="G616" s="3" t="n">
        <v>1707.92</v>
      </c>
      <c r="H616" s="3"/>
      <c r="I616" s="1" t="s">
        <v>19</v>
      </c>
      <c r="L616" s="1" t="str">
        <f aca="false">IFERROR(G616/J616,"")</f>
        <v/>
      </c>
    </row>
    <row r="617" customFormat="false" ht="13.8" hidden="false" customHeight="false" outlineLevel="0" collapsed="false">
      <c r="A617" s="1" t="s">
        <v>17</v>
      </c>
      <c r="B617" s="1" t="s">
        <v>245</v>
      </c>
      <c r="C617" s="2" t="n">
        <v>45797</v>
      </c>
      <c r="D617" s="2" t="n">
        <v>45826</v>
      </c>
      <c r="E617" s="1" t="s">
        <v>27</v>
      </c>
      <c r="F617" s="1" t="n">
        <v>3960</v>
      </c>
      <c r="G617" s="3" t="n">
        <v>3960</v>
      </c>
      <c r="H617" s="3"/>
      <c r="I617" s="1" t="s">
        <v>15</v>
      </c>
      <c r="L617" s="1" t="str">
        <f aca="false">IFERROR(G617/J617,"")</f>
        <v/>
      </c>
    </row>
    <row r="618" customFormat="false" ht="13.8" hidden="false" customHeight="false" outlineLevel="0" collapsed="false">
      <c r="A618" s="1" t="s">
        <v>50</v>
      </c>
      <c r="B618" s="1" t="s">
        <v>283</v>
      </c>
      <c r="C618" s="2" t="n">
        <v>45826</v>
      </c>
      <c r="D618" s="2" t="n">
        <v>45826</v>
      </c>
      <c r="E618" s="1" t="s">
        <v>288</v>
      </c>
      <c r="F618" s="1" t="n">
        <v>542.36</v>
      </c>
      <c r="G618" s="1" t="n">
        <v>542.36</v>
      </c>
      <c r="I618" s="1" t="s">
        <v>19</v>
      </c>
      <c r="L618" s="1" t="str">
        <f aca="false">IFERROR(G618/J618,"")</f>
        <v/>
      </c>
    </row>
    <row r="619" customFormat="false" ht="13.8" hidden="false" customHeight="false" outlineLevel="0" collapsed="false">
      <c r="A619" s="1" t="s">
        <v>17</v>
      </c>
      <c r="B619" s="1" t="s">
        <v>283</v>
      </c>
      <c r="C619" s="2" t="n">
        <v>45826</v>
      </c>
      <c r="D619" s="2" t="n">
        <v>45826</v>
      </c>
      <c r="E619" s="1" t="s">
        <v>288</v>
      </c>
      <c r="F619" s="1" t="n">
        <v>586.08</v>
      </c>
      <c r="G619" s="1" t="n">
        <v>586.08</v>
      </c>
      <c r="I619" s="1" t="s">
        <v>19</v>
      </c>
      <c r="L619" s="1" t="str">
        <f aca="false">IFERROR(G619/J619,"")</f>
        <v/>
      </c>
    </row>
    <row r="620" customFormat="false" ht="13.8" hidden="false" customHeight="false" outlineLevel="0" collapsed="false">
      <c r="A620" s="1" t="s">
        <v>17</v>
      </c>
      <c r="B620" s="1" t="s">
        <v>283</v>
      </c>
      <c r="C620" s="2" t="n">
        <v>45827</v>
      </c>
      <c r="D620" s="2" t="n">
        <v>45827</v>
      </c>
      <c r="E620" s="1" t="s">
        <v>26</v>
      </c>
      <c r="F620" s="1" t="n">
        <v>576</v>
      </c>
      <c r="G620" s="1" t="n">
        <v>576</v>
      </c>
      <c r="I620" s="1" t="s">
        <v>252</v>
      </c>
      <c r="L620" s="1" t="str">
        <f aca="false">IFERROR(G620/J620,"")</f>
        <v/>
      </c>
    </row>
    <row r="621" customFormat="false" ht="13.8" hidden="false" customHeight="false" outlineLevel="0" collapsed="false">
      <c r="A621" s="1" t="s">
        <v>12</v>
      </c>
      <c r="B621" s="1" t="s">
        <v>283</v>
      </c>
      <c r="C621" s="2" t="n">
        <v>45829</v>
      </c>
      <c r="D621" s="2" t="n">
        <v>45829</v>
      </c>
      <c r="E621" s="1" t="s">
        <v>79</v>
      </c>
      <c r="F621" s="1" t="n">
        <v>800</v>
      </c>
      <c r="G621" s="1" t="n">
        <v>800</v>
      </c>
      <c r="I621" s="1" t="s">
        <v>15</v>
      </c>
      <c r="L621" s="1" t="str">
        <f aca="false">IFERROR(G621/J621,"")</f>
        <v/>
      </c>
    </row>
    <row r="622" customFormat="false" ht="13.8" hidden="false" customHeight="false" outlineLevel="0" collapsed="false">
      <c r="A622" s="1" t="s">
        <v>12</v>
      </c>
      <c r="B622" s="1" t="s">
        <v>283</v>
      </c>
      <c r="C622" s="2" t="n">
        <v>45825</v>
      </c>
      <c r="D622" s="2" t="n">
        <v>45830</v>
      </c>
      <c r="E622" s="1" t="s">
        <v>288</v>
      </c>
      <c r="F622" s="1" t="n">
        <v>2224.7</v>
      </c>
      <c r="G622" s="3" t="n">
        <v>2224.7</v>
      </c>
      <c r="H622" s="3"/>
      <c r="I622" s="1" t="s">
        <v>19</v>
      </c>
      <c r="L622" s="1" t="str">
        <f aca="false">IFERROR(G622/J622,"")</f>
        <v/>
      </c>
    </row>
    <row r="623" customFormat="false" ht="13.8" hidden="false" customHeight="false" outlineLevel="0" collapsed="false">
      <c r="A623" s="1" t="s">
        <v>50</v>
      </c>
      <c r="B623" s="1" t="s">
        <v>245</v>
      </c>
      <c r="C623" s="2" t="n">
        <v>45802</v>
      </c>
      <c r="D623" s="2" t="n">
        <v>45832</v>
      </c>
      <c r="E623" s="1" t="s">
        <v>260</v>
      </c>
      <c r="F623" s="1" t="n">
        <v>1000</v>
      </c>
      <c r="G623" s="3" t="n">
        <v>1000</v>
      </c>
      <c r="H623" s="3"/>
      <c r="I623" s="1" t="s">
        <v>19</v>
      </c>
      <c r="L623" s="1" t="str">
        <f aca="false">IFERROR(G623/J623,"")</f>
        <v/>
      </c>
    </row>
    <row r="624" customFormat="false" ht="13.8" hidden="false" customHeight="false" outlineLevel="0" collapsed="false">
      <c r="A624" s="1" t="s">
        <v>50</v>
      </c>
      <c r="B624" s="1" t="s">
        <v>245</v>
      </c>
      <c r="C624" s="2" t="n">
        <v>45802</v>
      </c>
      <c r="D624" s="2" t="n">
        <v>45832</v>
      </c>
      <c r="E624" s="1" t="s">
        <v>260</v>
      </c>
      <c r="F624" s="1" t="n">
        <v>1000</v>
      </c>
      <c r="G624" s="3" t="n">
        <v>1000</v>
      </c>
      <c r="H624" s="3"/>
      <c r="I624" s="1" t="s">
        <v>19</v>
      </c>
      <c r="L624" s="1" t="str">
        <f aca="false">IFERROR(G624/J624,"")</f>
        <v/>
      </c>
    </row>
    <row r="625" customFormat="false" ht="13.8" hidden="false" customHeight="false" outlineLevel="0" collapsed="false">
      <c r="A625" s="1" t="s">
        <v>12</v>
      </c>
      <c r="B625" s="1" t="s">
        <v>245</v>
      </c>
      <c r="C625" s="2" t="n">
        <v>45808</v>
      </c>
      <c r="D625" s="2" t="n">
        <v>45835</v>
      </c>
      <c r="E625" s="1" t="s">
        <v>289</v>
      </c>
      <c r="F625" s="1" t="n">
        <v>11500</v>
      </c>
      <c r="G625" s="3" t="n">
        <v>11500</v>
      </c>
      <c r="H625" s="3"/>
      <c r="I625" s="1" t="s">
        <v>263</v>
      </c>
      <c r="L625" s="1" t="str">
        <f aca="false">IFERROR(G625/J625,"")</f>
        <v/>
      </c>
    </row>
    <row r="626" customFormat="false" ht="13.8" hidden="false" customHeight="false" outlineLevel="0" collapsed="false">
      <c r="A626" s="1" t="s">
        <v>17</v>
      </c>
      <c r="B626" s="1" t="s">
        <v>283</v>
      </c>
      <c r="C626" s="2" t="n">
        <v>45810</v>
      </c>
      <c r="D626" s="2" t="n">
        <v>45835</v>
      </c>
      <c r="E626" s="1" t="s">
        <v>289</v>
      </c>
      <c r="F626" s="1" t="n">
        <v>5000</v>
      </c>
      <c r="G626" s="3" t="n">
        <v>5000</v>
      </c>
      <c r="H626" s="3"/>
      <c r="I626" s="1" t="s">
        <v>263</v>
      </c>
      <c r="L626" s="1" t="str">
        <f aca="false">IFERROR(G626/J626,"")</f>
        <v/>
      </c>
    </row>
    <row r="627" customFormat="false" ht="13.8" hidden="false" customHeight="false" outlineLevel="0" collapsed="false">
      <c r="A627" s="5" t="s">
        <v>17</v>
      </c>
      <c r="B627" s="6" t="n">
        <v>45778</v>
      </c>
      <c r="C627" s="11" t="n">
        <v>45800</v>
      </c>
      <c r="D627" s="11" t="n">
        <v>45835</v>
      </c>
      <c r="E627" s="5" t="s">
        <v>290</v>
      </c>
      <c r="F627" s="8" t="n">
        <v>11500</v>
      </c>
      <c r="G627" s="8" t="n">
        <v>11500</v>
      </c>
      <c r="H627" s="9"/>
      <c r="I627" s="1" t="s">
        <v>291</v>
      </c>
      <c r="J627" s="16" t="n">
        <v>105</v>
      </c>
      <c r="L627" s="1" t="n">
        <f aca="false">IFERROR(G627/J627,"")</f>
        <v>109.52380952381</v>
      </c>
    </row>
    <row r="628" customFormat="false" ht="13.8" hidden="false" customHeight="false" outlineLevel="0" collapsed="false">
      <c r="A628" s="5" t="s">
        <v>17</v>
      </c>
      <c r="B628" s="6" t="n">
        <v>45778</v>
      </c>
      <c r="C628" s="11" t="n">
        <v>45806</v>
      </c>
      <c r="D628" s="11" t="n">
        <v>45835</v>
      </c>
      <c r="E628" s="5" t="s">
        <v>146</v>
      </c>
      <c r="F628" s="8" t="n">
        <v>2500</v>
      </c>
      <c r="G628" s="8" t="n">
        <v>2500</v>
      </c>
      <c r="H628" s="9"/>
      <c r="J628" s="12" t="n">
        <v>22</v>
      </c>
      <c r="L628" s="1" t="n">
        <f aca="false">IFERROR(G628/J628,"")</f>
        <v>113.636363636364</v>
      </c>
    </row>
    <row r="629" customFormat="false" ht="13.8" hidden="false" customHeight="false" outlineLevel="0" collapsed="false">
      <c r="A629" s="1" t="s">
        <v>17</v>
      </c>
      <c r="B629" s="1" t="s">
        <v>245</v>
      </c>
      <c r="C629" s="2" t="n">
        <v>45806</v>
      </c>
      <c r="D629" s="2" t="n">
        <v>45836</v>
      </c>
      <c r="E629" s="1" t="s">
        <v>262</v>
      </c>
      <c r="F629" s="1" t="n">
        <v>1000</v>
      </c>
      <c r="G629" s="3" t="n">
        <v>1000</v>
      </c>
      <c r="H629" s="3"/>
      <c r="I629" s="1" t="s">
        <v>263</v>
      </c>
      <c r="L629" s="1" t="str">
        <f aca="false">IFERROR(G629/J629,"")</f>
        <v/>
      </c>
    </row>
    <row r="630" customFormat="false" ht="13.8" hidden="false" customHeight="false" outlineLevel="0" collapsed="false">
      <c r="A630" s="1" t="s">
        <v>17</v>
      </c>
      <c r="B630" s="1" t="s">
        <v>245</v>
      </c>
      <c r="C630" s="2" t="n">
        <v>45806</v>
      </c>
      <c r="D630" s="2" t="n">
        <v>45836</v>
      </c>
      <c r="E630" s="1" t="s">
        <v>262</v>
      </c>
      <c r="F630" s="1" t="n">
        <v>999</v>
      </c>
      <c r="G630" s="1" t="n">
        <v>999</v>
      </c>
      <c r="I630" s="1" t="s">
        <v>263</v>
      </c>
      <c r="L630" s="1" t="str">
        <f aca="false">IFERROR(G630/J630,"")</f>
        <v/>
      </c>
    </row>
    <row r="631" customFormat="false" ht="13.8" hidden="false" customHeight="false" outlineLevel="0" collapsed="false">
      <c r="A631" s="1" t="s">
        <v>12</v>
      </c>
      <c r="B631" s="1" t="s">
        <v>245</v>
      </c>
      <c r="C631" s="2" t="n">
        <v>45806</v>
      </c>
      <c r="D631" s="2" t="n">
        <v>45836</v>
      </c>
      <c r="E631" s="1" t="s">
        <v>262</v>
      </c>
      <c r="F631" s="1" t="n">
        <v>1000</v>
      </c>
      <c r="G631" s="3" t="n">
        <v>1000</v>
      </c>
      <c r="H631" s="3"/>
      <c r="I631" s="1" t="s">
        <v>263</v>
      </c>
      <c r="L631" s="1" t="str">
        <f aca="false">IFERROR(G631/J631,"")</f>
        <v/>
      </c>
    </row>
    <row r="632" customFormat="false" ht="13.8" hidden="false" customHeight="false" outlineLevel="0" collapsed="false">
      <c r="A632" s="1" t="s">
        <v>12</v>
      </c>
      <c r="B632" s="1" t="s">
        <v>283</v>
      </c>
      <c r="C632" s="2" t="n">
        <v>45821</v>
      </c>
      <c r="D632" s="2" t="n">
        <v>45837</v>
      </c>
      <c r="E632" s="1" t="s">
        <v>22</v>
      </c>
      <c r="F632" s="1" t="n">
        <v>5100</v>
      </c>
      <c r="G632" s="3" t="n">
        <v>5100</v>
      </c>
      <c r="H632" s="3"/>
      <c r="I632" s="1" t="s">
        <v>15</v>
      </c>
      <c r="L632" s="1" t="str">
        <f aca="false">IFERROR(G632/J632,"")</f>
        <v/>
      </c>
    </row>
    <row r="633" customFormat="false" ht="13.8" hidden="false" customHeight="false" outlineLevel="0" collapsed="false">
      <c r="A633" s="1" t="s">
        <v>17</v>
      </c>
      <c r="B633" s="1" t="s">
        <v>129</v>
      </c>
      <c r="C633" s="2" t="n">
        <v>45748</v>
      </c>
      <c r="D633" s="2" t="n">
        <v>45838</v>
      </c>
      <c r="E633" s="1" t="s">
        <v>108</v>
      </c>
      <c r="F633" s="1" t="n">
        <v>5400</v>
      </c>
      <c r="G633" s="3" t="n">
        <v>5400</v>
      </c>
      <c r="H633" s="3"/>
      <c r="I633" s="1" t="s">
        <v>15</v>
      </c>
      <c r="L633" s="1" t="str">
        <f aca="false">IFERROR(G633/J633,"")</f>
        <v/>
      </c>
    </row>
    <row r="634" customFormat="false" ht="13.8" hidden="false" customHeight="false" outlineLevel="0" collapsed="false">
      <c r="A634" s="1" t="s">
        <v>50</v>
      </c>
      <c r="B634" s="1" t="s">
        <v>283</v>
      </c>
      <c r="C634" s="2" t="n">
        <v>45809</v>
      </c>
      <c r="D634" s="2" t="n">
        <v>45838</v>
      </c>
      <c r="E634" s="1" t="s">
        <v>54</v>
      </c>
      <c r="F634" s="1" t="n">
        <v>4000</v>
      </c>
      <c r="G634" s="3" t="n">
        <v>4000</v>
      </c>
      <c r="H634" s="3"/>
      <c r="I634" s="1" t="s">
        <v>15</v>
      </c>
      <c r="L634" s="1" t="str">
        <f aca="false">IFERROR(G634/J634,"")</f>
        <v/>
      </c>
    </row>
    <row r="635" customFormat="false" ht="13.8" hidden="false" customHeight="false" outlineLevel="0" collapsed="false">
      <c r="A635" s="1" t="s">
        <v>50</v>
      </c>
      <c r="B635" s="1" t="s">
        <v>283</v>
      </c>
      <c r="C635" s="2" t="n">
        <v>45809</v>
      </c>
      <c r="D635" s="2" t="n">
        <v>45838</v>
      </c>
      <c r="E635" s="1" t="s">
        <v>80</v>
      </c>
      <c r="F635" s="1" t="n">
        <v>1000</v>
      </c>
      <c r="G635" s="3" t="n">
        <v>1000</v>
      </c>
      <c r="H635" s="3"/>
      <c r="I635" s="1" t="s">
        <v>19</v>
      </c>
      <c r="L635" s="1" t="str">
        <f aca="false">IFERROR(G635/J635,"")</f>
        <v/>
      </c>
    </row>
    <row r="636" customFormat="false" ht="13.8" hidden="false" customHeight="false" outlineLevel="0" collapsed="false">
      <c r="A636" s="1" t="s">
        <v>50</v>
      </c>
      <c r="B636" s="1" t="s">
        <v>283</v>
      </c>
      <c r="C636" s="2" t="n">
        <v>45809</v>
      </c>
      <c r="D636" s="2" t="n">
        <v>45838</v>
      </c>
      <c r="E636" s="1" t="s">
        <v>110</v>
      </c>
      <c r="F636" s="1" t="n">
        <v>11842.8</v>
      </c>
      <c r="G636" s="3" t="n">
        <v>11842.8</v>
      </c>
      <c r="H636" s="3"/>
      <c r="I636" s="1" t="s">
        <v>19</v>
      </c>
      <c r="L636" s="1" t="str">
        <f aca="false">IFERROR(G636/J636,"")</f>
        <v/>
      </c>
    </row>
    <row r="637" customFormat="false" ht="13.8" hidden="false" customHeight="false" outlineLevel="0" collapsed="false">
      <c r="A637" s="1" t="s">
        <v>50</v>
      </c>
      <c r="B637" s="1" t="s">
        <v>283</v>
      </c>
      <c r="C637" s="2" t="n">
        <v>45809</v>
      </c>
      <c r="D637" s="2" t="n">
        <v>45838</v>
      </c>
      <c r="E637" s="1" t="s">
        <v>292</v>
      </c>
      <c r="F637" s="1" t="n">
        <v>2000</v>
      </c>
      <c r="G637" s="3" t="n">
        <v>2000</v>
      </c>
      <c r="H637" s="3"/>
      <c r="I637" s="1" t="s">
        <v>252</v>
      </c>
      <c r="L637" s="1" t="str">
        <f aca="false">IFERROR(G637/J637,"")</f>
        <v/>
      </c>
    </row>
    <row r="638" customFormat="false" ht="13.8" hidden="false" customHeight="false" outlineLevel="0" collapsed="false">
      <c r="A638" s="1" t="s">
        <v>17</v>
      </c>
      <c r="B638" s="1" t="s">
        <v>283</v>
      </c>
      <c r="C638" s="2" t="n">
        <v>45809</v>
      </c>
      <c r="D638" s="2" t="n">
        <v>45838</v>
      </c>
      <c r="E638" s="1" t="s">
        <v>118</v>
      </c>
      <c r="F638" s="1" t="n">
        <v>3292.85</v>
      </c>
      <c r="G638" s="3" t="n">
        <v>3292.85</v>
      </c>
      <c r="H638" s="3"/>
      <c r="I638" s="1" t="s">
        <v>19</v>
      </c>
      <c r="L638" s="1" t="str">
        <f aca="false">IFERROR(G638/J638,"")</f>
        <v/>
      </c>
    </row>
    <row r="639" customFormat="false" ht="13.8" hidden="false" customHeight="false" outlineLevel="0" collapsed="false">
      <c r="A639" s="1" t="s">
        <v>17</v>
      </c>
      <c r="B639" s="1" t="s">
        <v>283</v>
      </c>
      <c r="C639" s="2" t="n">
        <v>45809</v>
      </c>
      <c r="D639" s="2" t="n">
        <v>45838</v>
      </c>
      <c r="E639" s="1" t="s">
        <v>292</v>
      </c>
      <c r="F639" s="1" t="n">
        <v>1000</v>
      </c>
      <c r="G639" s="3" t="n">
        <v>1000</v>
      </c>
      <c r="H639" s="3"/>
      <c r="I639" s="1" t="s">
        <v>252</v>
      </c>
      <c r="L639" s="1" t="str">
        <f aca="false">IFERROR(G639/J639,"")</f>
        <v/>
      </c>
    </row>
    <row r="640" customFormat="false" ht="13.8" hidden="false" customHeight="false" outlineLevel="0" collapsed="false">
      <c r="A640" s="1" t="s">
        <v>17</v>
      </c>
      <c r="B640" s="1" t="s">
        <v>283</v>
      </c>
      <c r="C640" s="2" t="n">
        <v>45809</v>
      </c>
      <c r="D640" s="2" t="n">
        <v>45838</v>
      </c>
      <c r="E640" s="1" t="s">
        <v>292</v>
      </c>
      <c r="F640" s="1" t="n">
        <v>999</v>
      </c>
      <c r="G640" s="1" t="n">
        <v>999</v>
      </c>
      <c r="I640" s="1" t="s">
        <v>252</v>
      </c>
      <c r="L640" s="1" t="str">
        <f aca="false">IFERROR(G640/J640,"")</f>
        <v/>
      </c>
    </row>
    <row r="641" customFormat="false" ht="13.8" hidden="false" customHeight="false" outlineLevel="0" collapsed="false">
      <c r="A641" s="1" t="s">
        <v>12</v>
      </c>
      <c r="B641" s="1" t="s">
        <v>283</v>
      </c>
      <c r="C641" s="2" t="n">
        <v>45809</v>
      </c>
      <c r="D641" s="2" t="n">
        <v>45838</v>
      </c>
      <c r="E641" s="1" t="s">
        <v>110</v>
      </c>
      <c r="F641" s="1" t="n">
        <v>6773.4</v>
      </c>
      <c r="G641" s="3" t="n">
        <v>6773.4</v>
      </c>
      <c r="H641" s="3"/>
      <c r="I641" s="1" t="s">
        <v>19</v>
      </c>
      <c r="L641" s="1" t="str">
        <f aca="false">IFERROR(G641/J641,"")</f>
        <v/>
      </c>
    </row>
    <row r="642" customFormat="false" ht="13.8" hidden="false" customHeight="false" outlineLevel="0" collapsed="false">
      <c r="A642" s="1" t="s">
        <v>12</v>
      </c>
      <c r="B642" s="1" t="s">
        <v>283</v>
      </c>
      <c r="C642" s="2" t="n">
        <v>45809</v>
      </c>
      <c r="D642" s="2" t="n">
        <v>45838</v>
      </c>
      <c r="E642" s="1" t="s">
        <v>292</v>
      </c>
      <c r="F642" s="1" t="n">
        <v>1000</v>
      </c>
      <c r="G642" s="3" t="n">
        <v>1000</v>
      </c>
      <c r="H642" s="3"/>
      <c r="I642" s="1" t="s">
        <v>252</v>
      </c>
      <c r="L642" s="1" t="str">
        <f aca="false">IFERROR(G642/J642,"")</f>
        <v/>
      </c>
    </row>
    <row r="643" customFormat="false" ht="13.8" hidden="false" customHeight="false" outlineLevel="0" collapsed="false">
      <c r="A643" s="1" t="s">
        <v>17</v>
      </c>
      <c r="B643" s="1" t="s">
        <v>283</v>
      </c>
      <c r="C643" s="2" t="n">
        <v>45810</v>
      </c>
      <c r="D643" s="2" t="n">
        <v>45838</v>
      </c>
      <c r="E643" s="1" t="s">
        <v>46</v>
      </c>
      <c r="F643" s="1" t="n">
        <v>3024</v>
      </c>
      <c r="G643" s="3" t="n">
        <v>3024</v>
      </c>
      <c r="H643" s="3"/>
      <c r="I643" s="1" t="s">
        <v>15</v>
      </c>
      <c r="L643" s="1" t="str">
        <f aca="false">IFERROR(G643/J643,"")</f>
        <v/>
      </c>
    </row>
    <row r="644" customFormat="false" ht="13.8" hidden="false" customHeight="false" outlineLevel="0" collapsed="false">
      <c r="A644" s="1" t="s">
        <v>17</v>
      </c>
      <c r="B644" s="1" t="s">
        <v>283</v>
      </c>
      <c r="C644" s="2" t="n">
        <v>45810</v>
      </c>
      <c r="D644" s="2" t="n">
        <v>45838</v>
      </c>
      <c r="E644" s="1" t="s">
        <v>119</v>
      </c>
      <c r="F644" s="1" t="n">
        <v>3024</v>
      </c>
      <c r="G644" s="3" t="n">
        <v>3024</v>
      </c>
      <c r="H644" s="3"/>
      <c r="I644" s="1" t="s">
        <v>15</v>
      </c>
      <c r="L644" s="1" t="str">
        <f aca="false">IFERROR(G644/J644,"")</f>
        <v/>
      </c>
    </row>
    <row r="645" customFormat="false" ht="13.8" hidden="false" customHeight="false" outlineLevel="0" collapsed="false">
      <c r="A645" s="1" t="s">
        <v>12</v>
      </c>
      <c r="B645" s="1" t="s">
        <v>283</v>
      </c>
      <c r="C645" s="2" t="n">
        <v>45810</v>
      </c>
      <c r="D645" s="2" t="n">
        <v>45838</v>
      </c>
      <c r="E645" s="1" t="s">
        <v>21</v>
      </c>
      <c r="F645" s="1" t="n">
        <v>5091.53</v>
      </c>
      <c r="G645" s="3" t="n">
        <v>5091.53</v>
      </c>
      <c r="H645" s="3"/>
      <c r="I645" s="1" t="s">
        <v>15</v>
      </c>
      <c r="L645" s="1" t="str">
        <f aca="false">IFERROR(G645/J645,"")</f>
        <v/>
      </c>
    </row>
    <row r="646" customFormat="false" ht="13.8" hidden="false" customHeight="false" outlineLevel="0" collapsed="false">
      <c r="A646" s="1" t="s">
        <v>17</v>
      </c>
      <c r="B646" s="1" t="s">
        <v>283</v>
      </c>
      <c r="C646" s="2" t="n">
        <v>45811</v>
      </c>
      <c r="D646" s="2" t="n">
        <v>45838</v>
      </c>
      <c r="E646" s="1" t="s">
        <v>293</v>
      </c>
      <c r="F646" s="1" t="n">
        <v>3880</v>
      </c>
      <c r="G646" s="3" t="n">
        <v>3880</v>
      </c>
      <c r="H646" s="3"/>
      <c r="I646" s="1" t="s">
        <v>15</v>
      </c>
      <c r="L646" s="1" t="str">
        <f aca="false">IFERROR(G646/J646,"")</f>
        <v/>
      </c>
    </row>
    <row r="647" customFormat="false" ht="13.8" hidden="false" customHeight="false" outlineLevel="0" collapsed="false">
      <c r="A647" s="1" t="s">
        <v>17</v>
      </c>
      <c r="B647" s="1" t="s">
        <v>283</v>
      </c>
      <c r="C647" s="2" t="n">
        <v>45814</v>
      </c>
      <c r="D647" s="2" t="n">
        <v>45838</v>
      </c>
      <c r="E647" s="1" t="s">
        <v>70</v>
      </c>
      <c r="F647" s="1" t="n">
        <v>1745</v>
      </c>
      <c r="G647" s="3" t="n">
        <v>1745</v>
      </c>
      <c r="H647" s="3"/>
      <c r="I647" s="1" t="s">
        <v>15</v>
      </c>
      <c r="L647" s="1" t="str">
        <f aca="false">IFERROR(G647/J647,"")</f>
        <v/>
      </c>
    </row>
    <row r="648" customFormat="false" ht="13.8" hidden="false" customHeight="false" outlineLevel="0" collapsed="false">
      <c r="A648" s="1" t="s">
        <v>17</v>
      </c>
      <c r="B648" s="1" t="s">
        <v>283</v>
      </c>
      <c r="C648" s="2" t="n">
        <v>45814</v>
      </c>
      <c r="D648" s="2" t="n">
        <v>45838</v>
      </c>
      <c r="E648" s="1" t="s">
        <v>294</v>
      </c>
      <c r="F648" s="1" t="n">
        <v>1755</v>
      </c>
      <c r="G648" s="3" t="n">
        <v>1755</v>
      </c>
      <c r="H648" s="3"/>
      <c r="I648" s="1" t="s">
        <v>15</v>
      </c>
      <c r="L648" s="1" t="str">
        <f aca="false">IFERROR(G648/J648,"")</f>
        <v/>
      </c>
    </row>
    <row r="649" customFormat="false" ht="13.8" hidden="false" customHeight="false" outlineLevel="0" collapsed="false">
      <c r="A649" s="1" t="s">
        <v>17</v>
      </c>
      <c r="B649" s="1" t="s">
        <v>283</v>
      </c>
      <c r="C649" s="2" t="n">
        <v>45817</v>
      </c>
      <c r="D649" s="2" t="n">
        <v>45838</v>
      </c>
      <c r="E649" s="1" t="s">
        <v>295</v>
      </c>
      <c r="F649" s="1" t="n">
        <v>2880</v>
      </c>
      <c r="G649" s="3" t="n">
        <v>2880</v>
      </c>
      <c r="H649" s="3"/>
      <c r="I649" s="1" t="s">
        <v>15</v>
      </c>
      <c r="L649" s="1" t="str">
        <f aca="false">IFERROR(G649/J649,"")</f>
        <v/>
      </c>
    </row>
    <row r="650" customFormat="false" ht="13.8" hidden="false" customHeight="false" outlineLevel="0" collapsed="false">
      <c r="A650" s="1" t="s">
        <v>17</v>
      </c>
      <c r="B650" s="1" t="s">
        <v>283</v>
      </c>
      <c r="C650" s="2" t="n">
        <v>45818</v>
      </c>
      <c r="D650" s="2" t="n">
        <v>45838</v>
      </c>
      <c r="E650" s="1" t="s">
        <v>160</v>
      </c>
      <c r="F650" s="1" t="n">
        <v>2400</v>
      </c>
      <c r="G650" s="3" t="n">
        <v>2400</v>
      </c>
      <c r="H650" s="3"/>
      <c r="I650" s="1" t="s">
        <v>15</v>
      </c>
      <c r="L650" s="1" t="str">
        <f aca="false">IFERROR(G650/J650,"")</f>
        <v/>
      </c>
    </row>
    <row r="651" customFormat="false" ht="13.8" hidden="false" customHeight="false" outlineLevel="0" collapsed="false">
      <c r="A651" s="1" t="s">
        <v>12</v>
      </c>
      <c r="B651" s="1" t="s">
        <v>283</v>
      </c>
      <c r="C651" s="2" t="n">
        <v>45819</v>
      </c>
      <c r="D651" s="2" t="n">
        <v>45838</v>
      </c>
      <c r="E651" s="1" t="s">
        <v>72</v>
      </c>
      <c r="F651" s="1" t="n">
        <v>4920</v>
      </c>
      <c r="G651" s="3" t="n">
        <v>4920</v>
      </c>
      <c r="H651" s="3"/>
      <c r="I651" s="1" t="s">
        <v>15</v>
      </c>
      <c r="L651" s="1" t="str">
        <f aca="false">IFERROR(G651/J651,"")</f>
        <v/>
      </c>
    </row>
    <row r="652" customFormat="false" ht="13.8" hidden="false" customHeight="false" outlineLevel="0" collapsed="false">
      <c r="A652" s="1" t="s">
        <v>17</v>
      </c>
      <c r="B652" s="1" t="s">
        <v>283</v>
      </c>
      <c r="C652" s="2" t="n">
        <v>45826</v>
      </c>
      <c r="D652" s="2" t="n">
        <v>45838</v>
      </c>
      <c r="E652" s="1" t="s">
        <v>22</v>
      </c>
      <c r="F652" s="1" t="n">
        <v>5460</v>
      </c>
      <c r="G652" s="3" t="n">
        <v>5460</v>
      </c>
      <c r="H652" s="3"/>
      <c r="I652" s="1" t="s">
        <v>15</v>
      </c>
      <c r="L652" s="1" t="str">
        <f aca="false">IFERROR(G652/J652,"")</f>
        <v/>
      </c>
    </row>
    <row r="653" customFormat="false" ht="13.8" hidden="false" customHeight="false" outlineLevel="0" collapsed="false">
      <c r="A653" s="1" t="s">
        <v>12</v>
      </c>
      <c r="B653" s="1" t="s">
        <v>283</v>
      </c>
      <c r="C653" s="2" t="n">
        <v>45826</v>
      </c>
      <c r="D653" s="2" t="n">
        <v>45838</v>
      </c>
      <c r="E653" s="1" t="s">
        <v>22</v>
      </c>
      <c r="F653" s="1" t="n">
        <v>4420</v>
      </c>
      <c r="G653" s="3" t="n">
        <v>4420</v>
      </c>
      <c r="H653" s="3"/>
      <c r="I653" s="1" t="s">
        <v>15</v>
      </c>
      <c r="L653" s="1" t="str">
        <f aca="false">IFERROR(G653/J653,"")</f>
        <v/>
      </c>
    </row>
    <row r="654" customFormat="false" ht="13.8" hidden="false" customHeight="false" outlineLevel="0" collapsed="false">
      <c r="A654" s="5" t="s">
        <v>17</v>
      </c>
      <c r="B654" s="6" t="n">
        <v>45748</v>
      </c>
      <c r="C654" s="7" t="n">
        <v>45743</v>
      </c>
      <c r="D654" s="7" t="n">
        <v>45838</v>
      </c>
      <c r="E654" s="5" t="s">
        <v>296</v>
      </c>
      <c r="F654" s="8" t="n">
        <v>5400</v>
      </c>
      <c r="G654" s="8" t="n">
        <v>5400</v>
      </c>
      <c r="H654" s="9"/>
      <c r="I654" s="9" t="s">
        <v>139</v>
      </c>
      <c r="K654" s="9"/>
      <c r="L654" s="1" t="str">
        <f aca="false">IFERROR(G654/J654,"")</f>
        <v/>
      </c>
    </row>
    <row r="655" customFormat="false" ht="13.8" hidden="false" customHeight="false" outlineLevel="0" collapsed="false">
      <c r="A655" s="1" t="s">
        <v>50</v>
      </c>
      <c r="B655" s="1" t="s">
        <v>283</v>
      </c>
      <c r="C655" s="2" t="n">
        <v>45824</v>
      </c>
      <c r="D655" s="2" t="n">
        <v>45840</v>
      </c>
      <c r="E655" s="1" t="s">
        <v>284</v>
      </c>
      <c r="F655" s="1" t="n">
        <v>2080</v>
      </c>
      <c r="G655" s="3" t="n">
        <v>2080</v>
      </c>
      <c r="H655" s="3"/>
      <c r="I655" s="1" t="s">
        <v>19</v>
      </c>
      <c r="L655" s="1" t="str">
        <f aca="false">IFERROR(G655/J655,"")</f>
        <v/>
      </c>
    </row>
    <row r="656" customFormat="false" ht="13.8" hidden="false" customHeight="false" outlineLevel="0" collapsed="false">
      <c r="A656" s="1" t="s">
        <v>17</v>
      </c>
      <c r="B656" s="1" t="s">
        <v>283</v>
      </c>
      <c r="C656" s="2" t="n">
        <v>45824</v>
      </c>
      <c r="D656" s="2" t="n">
        <v>45840</v>
      </c>
      <c r="E656" s="1" t="s">
        <v>284</v>
      </c>
      <c r="F656" s="1" t="n">
        <v>2080</v>
      </c>
      <c r="G656" s="3" t="n">
        <v>2080</v>
      </c>
      <c r="H656" s="3"/>
      <c r="I656" s="1" t="s">
        <v>19</v>
      </c>
      <c r="L656" s="1" t="str">
        <f aca="false">IFERROR(G656/J656,"")</f>
        <v/>
      </c>
    </row>
    <row r="657" customFormat="false" ht="13.8" hidden="false" customHeight="false" outlineLevel="0" collapsed="false">
      <c r="A657" s="1" t="s">
        <v>12</v>
      </c>
      <c r="B657" s="1" t="s">
        <v>283</v>
      </c>
      <c r="C657" s="2" t="n">
        <v>45824</v>
      </c>
      <c r="D657" s="2" t="n">
        <v>45840</v>
      </c>
      <c r="E657" s="1" t="s">
        <v>284</v>
      </c>
      <c r="F657" s="1" t="n">
        <v>2080</v>
      </c>
      <c r="G657" s="3" t="n">
        <v>2080</v>
      </c>
      <c r="H657" s="3"/>
      <c r="I657" s="1" t="s">
        <v>19</v>
      </c>
      <c r="L657" s="1" t="str">
        <f aca="false">IFERROR(G657/J657,"")</f>
        <v/>
      </c>
    </row>
    <row r="658" customFormat="false" ht="13.8" hidden="false" customHeight="false" outlineLevel="0" collapsed="false">
      <c r="A658" s="1" t="s">
        <v>50</v>
      </c>
      <c r="B658" s="1" t="s">
        <v>283</v>
      </c>
      <c r="C658" s="2" t="n">
        <v>45812</v>
      </c>
      <c r="D658" s="2" t="n">
        <v>45841</v>
      </c>
      <c r="E658" s="1" t="s">
        <v>104</v>
      </c>
      <c r="F658" s="1" t="n">
        <v>1500</v>
      </c>
      <c r="G658" s="3" t="n">
        <v>1500</v>
      </c>
      <c r="H658" s="3"/>
      <c r="I658" s="1" t="s">
        <v>15</v>
      </c>
      <c r="L658" s="1" t="str">
        <f aca="false">IFERROR(G658/J658,"")</f>
        <v/>
      </c>
    </row>
    <row r="659" customFormat="false" ht="13.8" hidden="false" customHeight="false" outlineLevel="0" collapsed="false">
      <c r="A659" s="1" t="s">
        <v>17</v>
      </c>
      <c r="B659" s="1" t="s">
        <v>283</v>
      </c>
      <c r="C659" s="2" t="n">
        <v>45812</v>
      </c>
      <c r="D659" s="2" t="n">
        <v>45841</v>
      </c>
      <c r="E659" s="1" t="s">
        <v>104</v>
      </c>
      <c r="F659" s="1" t="n">
        <v>1000</v>
      </c>
      <c r="G659" s="3" t="n">
        <v>1000</v>
      </c>
      <c r="H659" s="3"/>
      <c r="I659" s="1" t="s">
        <v>15</v>
      </c>
      <c r="L659" s="1" t="str">
        <f aca="false">IFERROR(G659/J659,"")</f>
        <v/>
      </c>
    </row>
    <row r="660" customFormat="false" ht="13.8" hidden="false" customHeight="false" outlineLevel="0" collapsed="false">
      <c r="A660" s="1" t="s">
        <v>17</v>
      </c>
      <c r="B660" s="1" t="s">
        <v>283</v>
      </c>
      <c r="C660" s="2" t="n">
        <v>45812</v>
      </c>
      <c r="D660" s="2" t="n">
        <v>45841</v>
      </c>
      <c r="E660" s="1" t="s">
        <v>104</v>
      </c>
      <c r="F660" s="1" t="n">
        <v>505.27</v>
      </c>
      <c r="G660" s="1" t="n">
        <v>505.27</v>
      </c>
      <c r="I660" s="1" t="s">
        <v>15</v>
      </c>
      <c r="L660" s="1" t="str">
        <f aca="false">IFERROR(G660/J660,"")</f>
        <v/>
      </c>
    </row>
    <row r="661" customFormat="false" ht="13.8" hidden="false" customHeight="false" outlineLevel="0" collapsed="false">
      <c r="A661" s="1" t="s">
        <v>17</v>
      </c>
      <c r="B661" s="1" t="s">
        <v>297</v>
      </c>
      <c r="C661" s="2" t="n">
        <v>45840</v>
      </c>
      <c r="D661" s="2" t="n">
        <v>45841</v>
      </c>
      <c r="E661" s="1" t="s">
        <v>84</v>
      </c>
      <c r="F661" s="1" t="n">
        <v>4992</v>
      </c>
      <c r="G661" s="3" t="n">
        <v>4992</v>
      </c>
      <c r="H661" s="3"/>
      <c r="I661" s="1" t="s">
        <v>15</v>
      </c>
      <c r="L661" s="1" t="str">
        <f aca="false">IFERROR(G661/J661,"")</f>
        <v/>
      </c>
    </row>
    <row r="662" customFormat="false" ht="13.8" hidden="false" customHeight="false" outlineLevel="0" collapsed="false">
      <c r="A662" s="5" t="s">
        <v>141</v>
      </c>
      <c r="B662" s="6" t="n">
        <v>45748</v>
      </c>
      <c r="C662" s="7" t="n">
        <v>45748</v>
      </c>
      <c r="D662" s="7" t="n">
        <v>45841</v>
      </c>
      <c r="E662" s="5" t="s">
        <v>236</v>
      </c>
      <c r="F662" s="8" t="n">
        <v>2000</v>
      </c>
      <c r="G662" s="8" t="n">
        <v>2000</v>
      </c>
      <c r="H662" s="9"/>
      <c r="I662" s="9"/>
      <c r="K662" s="9"/>
      <c r="L662" s="1" t="str">
        <f aca="false">IFERROR(G662/J662,"")</f>
        <v/>
      </c>
    </row>
    <row r="663" customFormat="false" ht="13.8" hidden="false" customHeight="false" outlineLevel="0" collapsed="false">
      <c r="A663" s="1" t="s">
        <v>17</v>
      </c>
      <c r="B663" s="1" t="s">
        <v>283</v>
      </c>
      <c r="C663" s="2" t="n">
        <v>45833</v>
      </c>
      <c r="D663" s="2" t="n">
        <v>45843</v>
      </c>
      <c r="E663" s="1" t="s">
        <v>84</v>
      </c>
      <c r="F663" s="1" t="n">
        <v>4800</v>
      </c>
      <c r="G663" s="3" t="n">
        <v>4800</v>
      </c>
      <c r="H663" s="3"/>
      <c r="I663" s="1" t="s">
        <v>15</v>
      </c>
      <c r="L663" s="1" t="str">
        <f aca="false">IFERROR(G663/J663,"")</f>
        <v/>
      </c>
    </row>
    <row r="664" customFormat="false" ht="13.8" hidden="false" customHeight="false" outlineLevel="0" collapsed="false">
      <c r="A664" s="1" t="s">
        <v>12</v>
      </c>
      <c r="B664" s="1" t="s">
        <v>297</v>
      </c>
      <c r="C664" s="2" t="n">
        <v>45839</v>
      </c>
      <c r="D664" s="2" t="n">
        <v>45844</v>
      </c>
      <c r="E664" s="1" t="s">
        <v>22</v>
      </c>
      <c r="F664" s="1" t="n">
        <v>1904</v>
      </c>
      <c r="G664" s="3" t="n">
        <v>1904</v>
      </c>
      <c r="H664" s="3"/>
      <c r="I664" s="1" t="s">
        <v>15</v>
      </c>
      <c r="L664" s="1" t="str">
        <f aca="false">IFERROR(G664/J664,"")</f>
        <v/>
      </c>
    </row>
    <row r="665" customFormat="false" ht="13.8" hidden="false" customHeight="false" outlineLevel="0" collapsed="false">
      <c r="A665" s="1" t="s">
        <v>50</v>
      </c>
      <c r="B665" s="1" t="s">
        <v>297</v>
      </c>
      <c r="C665" s="2" t="n">
        <v>45841</v>
      </c>
      <c r="D665" s="2" t="n">
        <v>45845</v>
      </c>
      <c r="E665" s="1" t="s">
        <v>284</v>
      </c>
      <c r="F665" s="1" t="n">
        <v>2344.71</v>
      </c>
      <c r="G665" s="3" t="n">
        <v>2344.71</v>
      </c>
      <c r="H665" s="3"/>
      <c r="I665" s="1" t="s">
        <v>19</v>
      </c>
      <c r="L665" s="1" t="str">
        <f aca="false">IFERROR(G665/J665,"")</f>
        <v/>
      </c>
    </row>
    <row r="666" customFormat="false" ht="13.8" hidden="false" customHeight="false" outlineLevel="0" collapsed="false">
      <c r="A666" s="1" t="s">
        <v>17</v>
      </c>
      <c r="B666" s="1" t="s">
        <v>297</v>
      </c>
      <c r="C666" s="2" t="n">
        <v>45841</v>
      </c>
      <c r="D666" s="2" t="n">
        <v>45845</v>
      </c>
      <c r="E666" s="1" t="s">
        <v>284</v>
      </c>
      <c r="F666" s="1" t="n">
        <v>1000</v>
      </c>
      <c r="G666" s="3" t="n">
        <v>1000</v>
      </c>
      <c r="H666" s="3"/>
      <c r="I666" s="1" t="s">
        <v>19</v>
      </c>
      <c r="L666" s="1" t="str">
        <f aca="false">IFERROR(G666/J666,"")</f>
        <v/>
      </c>
    </row>
    <row r="667" customFormat="false" ht="13.8" hidden="false" customHeight="false" outlineLevel="0" collapsed="false">
      <c r="A667" s="1" t="s">
        <v>12</v>
      </c>
      <c r="B667" s="1" t="s">
        <v>297</v>
      </c>
      <c r="C667" s="2" t="n">
        <v>45841</v>
      </c>
      <c r="D667" s="2" t="n">
        <v>45845</v>
      </c>
      <c r="E667" s="1" t="s">
        <v>284</v>
      </c>
      <c r="F667" s="1" t="n">
        <v>1160</v>
      </c>
      <c r="G667" s="3" t="n">
        <v>1160</v>
      </c>
      <c r="H667" s="3"/>
      <c r="I667" s="1" t="s">
        <v>19</v>
      </c>
      <c r="L667" s="1" t="str">
        <f aca="false">IFERROR(G667/J667,"")</f>
        <v/>
      </c>
    </row>
    <row r="668" customFormat="false" ht="13.8" hidden="false" customHeight="false" outlineLevel="0" collapsed="false">
      <c r="A668" s="1" t="s">
        <v>17</v>
      </c>
      <c r="B668" s="1" t="s">
        <v>297</v>
      </c>
      <c r="C668" s="2" t="n">
        <v>45840</v>
      </c>
      <c r="D668" s="2" t="n">
        <v>45846</v>
      </c>
      <c r="E668" s="1" t="s">
        <v>33</v>
      </c>
      <c r="F668" s="1" t="n">
        <v>2343.95</v>
      </c>
      <c r="G668" s="3" t="n">
        <v>2343.95</v>
      </c>
      <c r="H668" s="3"/>
      <c r="I668" s="1" t="s">
        <v>15</v>
      </c>
      <c r="L668" s="1" t="str">
        <f aca="false">IFERROR(G668/J668,"")</f>
        <v/>
      </c>
    </row>
    <row r="669" customFormat="false" ht="13.8" hidden="false" customHeight="false" outlineLevel="0" collapsed="false">
      <c r="A669" s="5" t="s">
        <v>141</v>
      </c>
      <c r="B669" s="6" t="n">
        <v>45748</v>
      </c>
      <c r="C669" s="7" t="n">
        <v>45763</v>
      </c>
      <c r="D669" s="7" t="n">
        <v>45848</v>
      </c>
      <c r="E669" s="5" t="s">
        <v>298</v>
      </c>
      <c r="F669" s="8" t="n">
        <v>1750</v>
      </c>
      <c r="G669" s="8" t="n">
        <v>1750</v>
      </c>
      <c r="H669" s="9" t="s">
        <v>182</v>
      </c>
      <c r="I669" s="9" t="s">
        <v>299</v>
      </c>
      <c r="K669" s="9"/>
      <c r="L669" s="1" t="str">
        <f aca="false">IFERROR(G669/J669,"")</f>
        <v/>
      </c>
    </row>
    <row r="670" customFormat="false" ht="13.8" hidden="false" customHeight="false" outlineLevel="0" collapsed="false">
      <c r="A670" s="5" t="s">
        <v>17</v>
      </c>
      <c r="B670" s="6" t="n">
        <v>45778</v>
      </c>
      <c r="C670" s="11" t="n">
        <v>45763</v>
      </c>
      <c r="D670" s="11" t="n">
        <v>45848</v>
      </c>
      <c r="E670" s="5" t="s">
        <v>298</v>
      </c>
      <c r="F670" s="8" t="n">
        <v>4000</v>
      </c>
      <c r="G670" s="8" t="n">
        <v>4000</v>
      </c>
      <c r="H670" s="9" t="s">
        <v>182</v>
      </c>
      <c r="I670" s="1" t="s">
        <v>299</v>
      </c>
      <c r="J670" s="12"/>
      <c r="L670" s="1" t="str">
        <f aca="false">IFERROR(G670/J670,"")</f>
        <v/>
      </c>
    </row>
    <row r="671" customFormat="false" ht="13.8" hidden="false" customHeight="false" outlineLevel="0" collapsed="false">
      <c r="A671" s="1" t="s">
        <v>50</v>
      </c>
      <c r="B671" s="1" t="s">
        <v>297</v>
      </c>
      <c r="C671" s="2" t="n">
        <v>45839</v>
      </c>
      <c r="D671" s="2" t="n">
        <v>45849</v>
      </c>
      <c r="E671" s="1" t="s">
        <v>54</v>
      </c>
      <c r="F671" s="1" t="n">
        <v>2250</v>
      </c>
      <c r="G671" s="3" t="n">
        <v>2250</v>
      </c>
      <c r="H671" s="3"/>
      <c r="I671" s="1" t="s">
        <v>15</v>
      </c>
      <c r="L671" s="1" t="str">
        <f aca="false">IFERROR(G671/J671,"")</f>
        <v/>
      </c>
    </row>
    <row r="672" customFormat="false" ht="13.8" hidden="false" customHeight="false" outlineLevel="0" collapsed="false">
      <c r="A672" s="5" t="s">
        <v>17</v>
      </c>
      <c r="B672" s="6" t="n">
        <v>45778</v>
      </c>
      <c r="C672" s="11" t="n">
        <v>45635</v>
      </c>
      <c r="D672" s="11" t="n">
        <v>45849</v>
      </c>
      <c r="E672" s="5" t="s">
        <v>300</v>
      </c>
      <c r="F672" s="8" t="n">
        <v>2500</v>
      </c>
      <c r="G672" s="8" t="n">
        <v>2500</v>
      </c>
      <c r="H672" s="9" t="s">
        <v>231</v>
      </c>
      <c r="J672" s="12" t="n">
        <v>22</v>
      </c>
      <c r="L672" s="1" t="n">
        <f aca="false">IFERROR(G672/J672,"")</f>
        <v>113.636363636364</v>
      </c>
    </row>
    <row r="673" customFormat="false" ht="13.8" hidden="false" customHeight="false" outlineLevel="0" collapsed="false">
      <c r="A673" s="5" t="s">
        <v>17</v>
      </c>
      <c r="B673" s="6" t="n">
        <v>45778</v>
      </c>
      <c r="C673" s="11" t="n">
        <v>45784</v>
      </c>
      <c r="D673" s="11" t="n">
        <v>45851</v>
      </c>
      <c r="E673" s="5" t="s">
        <v>301</v>
      </c>
      <c r="F673" s="8" t="n">
        <v>3000</v>
      </c>
      <c r="G673" s="8" t="n">
        <v>3000</v>
      </c>
      <c r="H673" s="9" t="s">
        <v>282</v>
      </c>
      <c r="J673" s="12" t="n">
        <v>88</v>
      </c>
      <c r="L673" s="1" t="n">
        <f aca="false">IFERROR(G673/J673,"")</f>
        <v>34.0909090909091</v>
      </c>
    </row>
    <row r="674" customFormat="false" ht="13.8" hidden="false" customHeight="false" outlineLevel="0" collapsed="false">
      <c r="A674" s="1" t="s">
        <v>17</v>
      </c>
      <c r="B674" s="1" t="s">
        <v>283</v>
      </c>
      <c r="C674" s="2" t="n">
        <v>45828</v>
      </c>
      <c r="D674" s="2" t="n">
        <v>45856</v>
      </c>
      <c r="E674" s="1" t="s">
        <v>27</v>
      </c>
      <c r="F674" s="1" t="n">
        <v>3960</v>
      </c>
      <c r="G674" s="3" t="n">
        <v>3960</v>
      </c>
      <c r="H674" s="3"/>
      <c r="I674" s="1" t="s">
        <v>15</v>
      </c>
      <c r="L674" s="1" t="str">
        <f aca="false">IFERROR(G674/J674,"")</f>
        <v/>
      </c>
    </row>
    <row r="675" customFormat="false" ht="13.8" hidden="false" customHeight="false" outlineLevel="0" collapsed="false">
      <c r="A675" s="1" t="s">
        <v>17</v>
      </c>
      <c r="B675" s="1" t="s">
        <v>297</v>
      </c>
      <c r="C675" s="2" t="n">
        <v>45850</v>
      </c>
      <c r="D675" s="2" t="n">
        <v>45856</v>
      </c>
      <c r="E675" s="1" t="s">
        <v>33</v>
      </c>
      <c r="F675" s="1" t="n">
        <v>2343.95</v>
      </c>
      <c r="G675" s="3" t="n">
        <v>2343.95</v>
      </c>
      <c r="H675" s="3"/>
      <c r="I675" s="1" t="s">
        <v>15</v>
      </c>
      <c r="L675" s="1" t="str">
        <f aca="false">IFERROR(G675/J675,"")</f>
        <v/>
      </c>
    </row>
    <row r="676" customFormat="false" ht="13.8" hidden="false" customHeight="false" outlineLevel="0" collapsed="false">
      <c r="A676" s="5" t="s">
        <v>17</v>
      </c>
      <c r="B676" s="6" t="n">
        <v>45778</v>
      </c>
      <c r="C676" s="11" t="n">
        <v>45670</v>
      </c>
      <c r="D676" s="11" t="n">
        <v>45856</v>
      </c>
      <c r="E676" s="5" t="s">
        <v>218</v>
      </c>
      <c r="F676" s="8" t="n">
        <v>3960</v>
      </c>
      <c r="G676" s="8" t="n">
        <v>3960</v>
      </c>
      <c r="H676" s="9" t="s">
        <v>168</v>
      </c>
      <c r="I676" s="1" t="s">
        <v>139</v>
      </c>
      <c r="J676" s="12" t="n">
        <v>55</v>
      </c>
      <c r="L676" s="1" t="n">
        <f aca="false">IFERROR(G676/J676,"")</f>
        <v>72</v>
      </c>
    </row>
    <row r="677" customFormat="false" ht="13.8" hidden="false" customHeight="false" outlineLevel="0" collapsed="false">
      <c r="A677" s="1" t="s">
        <v>50</v>
      </c>
      <c r="B677" s="1" t="s">
        <v>283</v>
      </c>
      <c r="C677" s="2" t="n">
        <v>45833</v>
      </c>
      <c r="D677" s="2" t="n">
        <v>45862</v>
      </c>
      <c r="E677" s="1" t="s">
        <v>260</v>
      </c>
      <c r="F677" s="1" t="n">
        <v>1000</v>
      </c>
      <c r="G677" s="3" t="n">
        <v>1000</v>
      </c>
      <c r="H677" s="3"/>
      <c r="I677" s="1" t="s">
        <v>19</v>
      </c>
      <c r="L677" s="1" t="str">
        <f aca="false">IFERROR(G677/J677,"")</f>
        <v/>
      </c>
    </row>
    <row r="678" customFormat="false" ht="13.8" hidden="false" customHeight="false" outlineLevel="0" collapsed="false">
      <c r="A678" s="1" t="s">
        <v>50</v>
      </c>
      <c r="B678" s="1" t="s">
        <v>283</v>
      </c>
      <c r="C678" s="2" t="n">
        <v>45833</v>
      </c>
      <c r="D678" s="2" t="n">
        <v>45862</v>
      </c>
      <c r="E678" s="1" t="s">
        <v>260</v>
      </c>
      <c r="F678" s="1" t="n">
        <v>1000</v>
      </c>
      <c r="G678" s="3" t="n">
        <v>1000</v>
      </c>
      <c r="H678" s="3"/>
      <c r="I678" s="1" t="s">
        <v>19</v>
      </c>
      <c r="L678" s="1" t="str">
        <f aca="false">IFERROR(G678/J678,"")</f>
        <v/>
      </c>
    </row>
    <row r="679" customFormat="false" ht="13.8" hidden="false" customHeight="false" outlineLevel="0" collapsed="false">
      <c r="A679" s="1" t="s">
        <v>17</v>
      </c>
      <c r="B679" s="1" t="s">
        <v>297</v>
      </c>
      <c r="C679" s="2" t="n">
        <v>45861</v>
      </c>
      <c r="D679" s="2" t="n">
        <v>45863</v>
      </c>
      <c r="E679" s="1" t="s">
        <v>37</v>
      </c>
      <c r="F679" s="1" t="n">
        <v>1500</v>
      </c>
      <c r="G679" s="3" t="n">
        <v>1500</v>
      </c>
      <c r="H679" s="3"/>
      <c r="I679" s="1" t="s">
        <v>15</v>
      </c>
      <c r="L679" s="1" t="str">
        <f aca="false">IFERROR(G679/J679,"")</f>
        <v/>
      </c>
    </row>
    <row r="680" customFormat="false" ht="13.8" hidden="false" customHeight="false" outlineLevel="0" collapsed="false">
      <c r="A680" s="1" t="s">
        <v>12</v>
      </c>
      <c r="B680" s="1" t="s">
        <v>297</v>
      </c>
      <c r="C680" s="2" t="n">
        <v>45863</v>
      </c>
      <c r="D680" s="2" t="n">
        <v>45863</v>
      </c>
      <c r="E680" s="1" t="s">
        <v>79</v>
      </c>
      <c r="F680" s="1" t="n">
        <v>1200</v>
      </c>
      <c r="G680" s="3" t="n">
        <v>1200</v>
      </c>
      <c r="H680" s="3"/>
      <c r="I680" s="1" t="s">
        <v>15</v>
      </c>
      <c r="L680" s="1" t="str">
        <f aca="false">IFERROR(G680/J680,"")</f>
        <v/>
      </c>
    </row>
    <row r="681" customFormat="false" ht="13.8" hidden="false" customHeight="false" outlineLevel="0" collapsed="false">
      <c r="A681" s="1" t="s">
        <v>12</v>
      </c>
      <c r="B681" s="1" t="s">
        <v>297</v>
      </c>
      <c r="C681" s="2" t="n">
        <v>45846</v>
      </c>
      <c r="D681" s="2" t="n">
        <v>45865</v>
      </c>
      <c r="E681" s="1" t="s">
        <v>121</v>
      </c>
      <c r="F681" s="1" t="n">
        <v>1786.2</v>
      </c>
      <c r="G681" s="3" t="n">
        <v>1786.2</v>
      </c>
      <c r="H681" s="3"/>
      <c r="I681" s="1" t="s">
        <v>15</v>
      </c>
      <c r="L681" s="1" t="str">
        <f aca="false">IFERROR(G681/J681,"")</f>
        <v/>
      </c>
    </row>
    <row r="682" customFormat="false" ht="13.8" hidden="false" customHeight="false" outlineLevel="0" collapsed="false">
      <c r="A682" s="1" t="s">
        <v>50</v>
      </c>
      <c r="B682" s="1" t="s">
        <v>283</v>
      </c>
      <c r="C682" s="2" t="n">
        <v>45837</v>
      </c>
      <c r="D682" s="2" t="n">
        <v>45866</v>
      </c>
      <c r="E682" s="1" t="s">
        <v>262</v>
      </c>
      <c r="F682" s="1" t="n">
        <v>2000</v>
      </c>
      <c r="G682" s="3" t="n">
        <v>2000</v>
      </c>
      <c r="H682" s="3"/>
      <c r="I682" s="1" t="s">
        <v>263</v>
      </c>
      <c r="L682" s="1" t="str">
        <f aca="false">IFERROR(G682/J682,"")</f>
        <v/>
      </c>
    </row>
    <row r="683" customFormat="false" ht="13.8" hidden="false" customHeight="false" outlineLevel="0" collapsed="false">
      <c r="A683" s="1" t="s">
        <v>17</v>
      </c>
      <c r="B683" s="1" t="s">
        <v>283</v>
      </c>
      <c r="C683" s="2" t="n">
        <v>45837</v>
      </c>
      <c r="D683" s="2" t="n">
        <v>45866</v>
      </c>
      <c r="E683" s="1" t="s">
        <v>262</v>
      </c>
      <c r="F683" s="1" t="n">
        <v>999</v>
      </c>
      <c r="G683" s="1" t="n">
        <v>999</v>
      </c>
      <c r="I683" s="1" t="s">
        <v>263</v>
      </c>
      <c r="L683" s="1" t="str">
        <f aca="false">IFERROR(G683/J683,"")</f>
        <v/>
      </c>
    </row>
    <row r="684" customFormat="false" ht="13.8" hidden="false" customHeight="false" outlineLevel="0" collapsed="false">
      <c r="A684" s="1" t="s">
        <v>17</v>
      </c>
      <c r="B684" s="1" t="s">
        <v>283</v>
      </c>
      <c r="C684" s="2" t="n">
        <v>45837</v>
      </c>
      <c r="D684" s="2" t="n">
        <v>45866</v>
      </c>
      <c r="E684" s="1" t="s">
        <v>262</v>
      </c>
      <c r="F684" s="1" t="n">
        <v>1000</v>
      </c>
      <c r="G684" s="3" t="n">
        <v>1000</v>
      </c>
      <c r="H684" s="3"/>
      <c r="I684" s="1" t="s">
        <v>263</v>
      </c>
      <c r="L684" s="1" t="str">
        <f aca="false">IFERROR(G684/J684,"")</f>
        <v/>
      </c>
    </row>
    <row r="685" customFormat="false" ht="13.8" hidden="false" customHeight="false" outlineLevel="0" collapsed="false">
      <c r="A685" s="1" t="s">
        <v>12</v>
      </c>
      <c r="B685" s="1" t="s">
        <v>283</v>
      </c>
      <c r="C685" s="2" t="n">
        <v>45837</v>
      </c>
      <c r="D685" s="2" t="n">
        <v>45866</v>
      </c>
      <c r="E685" s="1" t="s">
        <v>262</v>
      </c>
      <c r="F685" s="1" t="n">
        <v>1000</v>
      </c>
      <c r="G685" s="3" t="n">
        <v>1000</v>
      </c>
      <c r="H685" s="3"/>
      <c r="I685" s="1" t="s">
        <v>263</v>
      </c>
      <c r="L685" s="1" t="str">
        <f aca="false">IFERROR(G685/J685,"")</f>
        <v/>
      </c>
    </row>
    <row r="686" customFormat="false" ht="13.8" hidden="false" customHeight="false" outlineLevel="0" collapsed="false">
      <c r="A686" s="1" t="s">
        <v>50</v>
      </c>
      <c r="B686" s="1" t="s">
        <v>297</v>
      </c>
      <c r="C686" s="2" t="n">
        <v>45839</v>
      </c>
      <c r="D686" s="2" t="n">
        <v>45868</v>
      </c>
      <c r="E686" s="1" t="s">
        <v>110</v>
      </c>
      <c r="F686" s="1" t="n">
        <v>11842.8</v>
      </c>
      <c r="G686" s="3" t="n">
        <v>11842.8</v>
      </c>
      <c r="H686" s="3"/>
      <c r="I686" s="1" t="s">
        <v>19</v>
      </c>
      <c r="L686" s="1" t="str">
        <f aca="false">IFERROR(G686/J686,"")</f>
        <v/>
      </c>
    </row>
    <row r="687" customFormat="false" ht="13.8" hidden="false" customHeight="false" outlineLevel="0" collapsed="false">
      <c r="A687" s="1" t="s">
        <v>50</v>
      </c>
      <c r="B687" s="1" t="s">
        <v>297</v>
      </c>
      <c r="C687" s="2" t="n">
        <v>45839</v>
      </c>
      <c r="D687" s="2" t="n">
        <v>45868</v>
      </c>
      <c r="E687" s="1" t="s">
        <v>292</v>
      </c>
      <c r="F687" s="1" t="n">
        <v>2000</v>
      </c>
      <c r="G687" s="3" t="n">
        <v>2000</v>
      </c>
      <c r="H687" s="3"/>
      <c r="I687" s="1" t="s">
        <v>252</v>
      </c>
      <c r="L687" s="1" t="str">
        <f aca="false">IFERROR(G687/J687,"")</f>
        <v/>
      </c>
    </row>
    <row r="688" customFormat="false" ht="13.8" hidden="false" customHeight="false" outlineLevel="0" collapsed="false">
      <c r="A688" s="1" t="s">
        <v>17</v>
      </c>
      <c r="B688" s="1" t="s">
        <v>297</v>
      </c>
      <c r="C688" s="2" t="n">
        <v>45839</v>
      </c>
      <c r="D688" s="2" t="n">
        <v>45868</v>
      </c>
      <c r="E688" s="1" t="s">
        <v>118</v>
      </c>
      <c r="F688" s="1" t="n">
        <v>3292.85</v>
      </c>
      <c r="G688" s="3" t="n">
        <v>3292.85</v>
      </c>
      <c r="H688" s="3"/>
      <c r="I688" s="1" t="s">
        <v>19</v>
      </c>
      <c r="L688" s="1" t="str">
        <f aca="false">IFERROR(G688/J688,"")</f>
        <v/>
      </c>
    </row>
    <row r="689" customFormat="false" ht="13.8" hidden="false" customHeight="false" outlineLevel="0" collapsed="false">
      <c r="A689" s="1" t="s">
        <v>17</v>
      </c>
      <c r="B689" s="1" t="s">
        <v>297</v>
      </c>
      <c r="C689" s="2" t="n">
        <v>45839</v>
      </c>
      <c r="D689" s="2" t="n">
        <v>45868</v>
      </c>
      <c r="E689" s="1" t="s">
        <v>292</v>
      </c>
      <c r="F689" s="1" t="n">
        <v>1000</v>
      </c>
      <c r="G689" s="3" t="n">
        <v>1000</v>
      </c>
      <c r="H689" s="3"/>
      <c r="I689" s="1" t="s">
        <v>252</v>
      </c>
      <c r="L689" s="1" t="str">
        <f aca="false">IFERROR(G689/J689,"")</f>
        <v/>
      </c>
    </row>
    <row r="690" customFormat="false" ht="13.8" hidden="false" customHeight="false" outlineLevel="0" collapsed="false">
      <c r="A690" s="1" t="s">
        <v>17</v>
      </c>
      <c r="B690" s="1" t="s">
        <v>297</v>
      </c>
      <c r="C690" s="2" t="n">
        <v>45839</v>
      </c>
      <c r="D690" s="2" t="n">
        <v>45868</v>
      </c>
      <c r="E690" s="1" t="s">
        <v>292</v>
      </c>
      <c r="F690" s="1" t="n">
        <v>999</v>
      </c>
      <c r="G690" s="1" t="n">
        <v>999</v>
      </c>
      <c r="I690" s="1" t="s">
        <v>252</v>
      </c>
      <c r="L690" s="1" t="str">
        <f aca="false">IFERROR(G690/J690,"")</f>
        <v/>
      </c>
    </row>
    <row r="691" customFormat="false" ht="13.8" hidden="false" customHeight="false" outlineLevel="0" collapsed="false">
      <c r="A691" s="1" t="s">
        <v>12</v>
      </c>
      <c r="B691" s="1" t="s">
        <v>297</v>
      </c>
      <c r="C691" s="2" t="n">
        <v>45839</v>
      </c>
      <c r="D691" s="2" t="n">
        <v>45868</v>
      </c>
      <c r="E691" s="1" t="s">
        <v>110</v>
      </c>
      <c r="F691" s="1" t="n">
        <v>6773.4</v>
      </c>
      <c r="G691" s="3" t="n">
        <v>6773.4</v>
      </c>
      <c r="H691" s="3"/>
      <c r="I691" s="1" t="s">
        <v>19</v>
      </c>
      <c r="L691" s="1" t="str">
        <f aca="false">IFERROR(G691/J691,"")</f>
        <v/>
      </c>
    </row>
    <row r="692" customFormat="false" ht="13.8" hidden="false" customHeight="false" outlineLevel="0" collapsed="false">
      <c r="A692" s="1" t="s">
        <v>12</v>
      </c>
      <c r="B692" s="1" t="s">
        <v>297</v>
      </c>
      <c r="C692" s="2" t="n">
        <v>45839</v>
      </c>
      <c r="D692" s="2" t="n">
        <v>45868</v>
      </c>
      <c r="E692" s="1" t="s">
        <v>292</v>
      </c>
      <c r="F692" s="1" t="n">
        <v>1000</v>
      </c>
      <c r="G692" s="3" t="n">
        <v>1000</v>
      </c>
      <c r="H692" s="3"/>
      <c r="I692" s="1" t="s">
        <v>252</v>
      </c>
      <c r="L692" s="1" t="str">
        <f aca="false">IFERROR(G692/J692,"")</f>
        <v/>
      </c>
    </row>
    <row r="693" customFormat="false" ht="13.8" hidden="false" customHeight="false" outlineLevel="0" collapsed="false">
      <c r="A693" s="1" t="s">
        <v>17</v>
      </c>
      <c r="B693" s="1" t="s">
        <v>297</v>
      </c>
      <c r="C693" s="2" t="n">
        <v>45859</v>
      </c>
      <c r="D693" s="2" t="n">
        <v>45868</v>
      </c>
      <c r="E693" s="1" t="s">
        <v>112</v>
      </c>
      <c r="F693" s="1" t="n">
        <v>1340.64</v>
      </c>
      <c r="G693" s="3" t="n">
        <v>1340.64</v>
      </c>
      <c r="H693" s="3"/>
      <c r="I693" s="1" t="s">
        <v>15</v>
      </c>
      <c r="L693" s="1" t="str">
        <f aca="false">IFERROR(G693/J693,"")</f>
        <v/>
      </c>
    </row>
    <row r="694" customFormat="false" ht="13.8" hidden="false" customHeight="false" outlineLevel="0" collapsed="false">
      <c r="A694" s="1" t="s">
        <v>12</v>
      </c>
      <c r="B694" s="1" t="s">
        <v>297</v>
      </c>
      <c r="C694" s="2" t="n">
        <v>45474</v>
      </c>
      <c r="D694" s="2" t="n">
        <v>45869</v>
      </c>
      <c r="E694" s="1" t="s">
        <v>21</v>
      </c>
      <c r="F694" s="1" t="n">
        <v>5576.44</v>
      </c>
      <c r="G694" s="3" t="n">
        <v>5576.44</v>
      </c>
      <c r="H694" s="3"/>
      <c r="I694" s="1" t="s">
        <v>15</v>
      </c>
      <c r="L694" s="1" t="str">
        <f aca="false">IFERROR(G694/J694,"")</f>
        <v/>
      </c>
    </row>
    <row r="695" customFormat="false" ht="13.8" hidden="false" customHeight="false" outlineLevel="0" collapsed="false">
      <c r="A695" s="1" t="s">
        <v>50</v>
      </c>
      <c r="B695" s="1" t="s">
        <v>297</v>
      </c>
      <c r="C695" s="2" t="n">
        <v>45839</v>
      </c>
      <c r="D695" s="2" t="n">
        <v>45869</v>
      </c>
      <c r="E695" s="1" t="s">
        <v>80</v>
      </c>
      <c r="F695" s="1" t="n">
        <v>2000</v>
      </c>
      <c r="G695" s="3" t="n">
        <v>2000</v>
      </c>
      <c r="H695" s="3"/>
      <c r="I695" s="1" t="s">
        <v>19</v>
      </c>
      <c r="L695" s="1" t="str">
        <f aca="false">IFERROR(G695/J695,"")</f>
        <v/>
      </c>
    </row>
    <row r="696" customFormat="false" ht="13.8" hidden="false" customHeight="false" outlineLevel="0" collapsed="false">
      <c r="A696" s="1" t="s">
        <v>50</v>
      </c>
      <c r="B696" s="1" t="s">
        <v>297</v>
      </c>
      <c r="C696" s="2" t="n">
        <v>45839</v>
      </c>
      <c r="D696" s="2" t="n">
        <v>45869</v>
      </c>
      <c r="E696" s="1" t="s">
        <v>302</v>
      </c>
      <c r="F696" s="1" t="n">
        <v>1100</v>
      </c>
      <c r="G696" s="3" t="n">
        <v>1100</v>
      </c>
      <c r="H696" s="3"/>
      <c r="I696" s="1" t="s">
        <v>263</v>
      </c>
      <c r="L696" s="1" t="str">
        <f aca="false">IFERROR(G696/J696,"")</f>
        <v/>
      </c>
    </row>
    <row r="697" customFormat="false" ht="13.8" hidden="false" customHeight="false" outlineLevel="0" collapsed="false">
      <c r="A697" s="1" t="s">
        <v>50</v>
      </c>
      <c r="B697" s="1" t="s">
        <v>297</v>
      </c>
      <c r="C697" s="2" t="n">
        <v>45839</v>
      </c>
      <c r="D697" s="2" t="n">
        <v>45869</v>
      </c>
      <c r="E697" s="1" t="s">
        <v>302</v>
      </c>
      <c r="F697" s="1" t="n">
        <v>900</v>
      </c>
      <c r="G697" s="1" t="n">
        <v>900</v>
      </c>
      <c r="I697" s="1" t="s">
        <v>263</v>
      </c>
      <c r="L697" s="1" t="str">
        <f aca="false">IFERROR(G697/J697,"")</f>
        <v/>
      </c>
    </row>
    <row r="698" customFormat="false" ht="13.8" hidden="false" customHeight="false" outlineLevel="0" collapsed="false">
      <c r="A698" s="1" t="s">
        <v>50</v>
      </c>
      <c r="B698" s="1" t="s">
        <v>297</v>
      </c>
      <c r="C698" s="2" t="n">
        <v>45839</v>
      </c>
      <c r="D698" s="2" t="n">
        <v>45869</v>
      </c>
      <c r="E698" s="1" t="s">
        <v>303</v>
      </c>
      <c r="F698" s="1" t="n">
        <v>742.63</v>
      </c>
      <c r="G698" s="1" t="n">
        <v>742.63</v>
      </c>
      <c r="I698" s="1" t="s">
        <v>252</v>
      </c>
      <c r="L698" s="1" t="str">
        <f aca="false">IFERROR(G698/J698,"")</f>
        <v/>
      </c>
    </row>
    <row r="699" customFormat="false" ht="13.8" hidden="false" customHeight="false" outlineLevel="0" collapsed="false">
      <c r="A699" s="1" t="s">
        <v>17</v>
      </c>
      <c r="B699" s="1" t="s">
        <v>297</v>
      </c>
      <c r="C699" s="2" t="n">
        <v>45839</v>
      </c>
      <c r="D699" s="2" t="n">
        <v>45869</v>
      </c>
      <c r="E699" s="1" t="s">
        <v>295</v>
      </c>
      <c r="F699" s="1" t="n">
        <v>3312</v>
      </c>
      <c r="G699" s="3" t="n">
        <v>3312</v>
      </c>
      <c r="H699" s="3"/>
      <c r="I699" s="1" t="s">
        <v>15</v>
      </c>
      <c r="L699" s="1" t="str">
        <f aca="false">IFERROR(G699/J699,"")</f>
        <v/>
      </c>
    </row>
    <row r="700" customFormat="false" ht="13.8" hidden="false" customHeight="false" outlineLevel="0" collapsed="false">
      <c r="A700" s="1" t="s">
        <v>17</v>
      </c>
      <c r="B700" s="1" t="s">
        <v>297</v>
      </c>
      <c r="C700" s="2" t="n">
        <v>45839</v>
      </c>
      <c r="D700" s="2" t="n">
        <v>45869</v>
      </c>
      <c r="E700" s="1" t="s">
        <v>46</v>
      </c>
      <c r="F700" s="1" t="n">
        <v>3312</v>
      </c>
      <c r="G700" s="3" t="n">
        <v>3312</v>
      </c>
      <c r="H700" s="3"/>
      <c r="I700" s="1" t="s">
        <v>15</v>
      </c>
      <c r="L700" s="1" t="str">
        <f aca="false">IFERROR(G700/J700,"")</f>
        <v/>
      </c>
    </row>
    <row r="701" customFormat="false" ht="13.8" hidden="false" customHeight="false" outlineLevel="0" collapsed="false">
      <c r="A701" s="1" t="s">
        <v>17</v>
      </c>
      <c r="B701" s="1" t="s">
        <v>297</v>
      </c>
      <c r="C701" s="2" t="n">
        <v>45839</v>
      </c>
      <c r="D701" s="2" t="n">
        <v>45869</v>
      </c>
      <c r="E701" s="1" t="s">
        <v>119</v>
      </c>
      <c r="F701" s="1" t="n">
        <v>3312</v>
      </c>
      <c r="G701" s="3" t="n">
        <v>3312</v>
      </c>
      <c r="H701" s="3"/>
      <c r="I701" s="1" t="s">
        <v>15</v>
      </c>
      <c r="L701" s="1" t="str">
        <f aca="false">IFERROR(G701/J701,"")</f>
        <v/>
      </c>
    </row>
    <row r="702" customFormat="false" ht="13.8" hidden="false" customHeight="false" outlineLevel="0" collapsed="false">
      <c r="A702" s="1" t="s">
        <v>17</v>
      </c>
      <c r="B702" s="1" t="s">
        <v>297</v>
      </c>
      <c r="C702" s="2" t="n">
        <v>45839</v>
      </c>
      <c r="D702" s="2" t="n">
        <v>45869</v>
      </c>
      <c r="E702" s="1" t="s">
        <v>160</v>
      </c>
      <c r="F702" s="1" t="n">
        <v>2976</v>
      </c>
      <c r="G702" s="3" t="n">
        <v>2976</v>
      </c>
      <c r="H702" s="3"/>
      <c r="I702" s="1" t="s">
        <v>15</v>
      </c>
      <c r="L702" s="1" t="str">
        <f aca="false">IFERROR(G702/J702,"")</f>
        <v/>
      </c>
    </row>
    <row r="703" customFormat="false" ht="13.8" hidden="false" customHeight="false" outlineLevel="0" collapsed="false">
      <c r="A703" s="1" t="s">
        <v>17</v>
      </c>
      <c r="B703" s="1" t="s">
        <v>297</v>
      </c>
      <c r="C703" s="2" t="n">
        <v>45839</v>
      </c>
      <c r="D703" s="2" t="n">
        <v>45869</v>
      </c>
      <c r="E703" s="1" t="s">
        <v>293</v>
      </c>
      <c r="F703" s="1" t="n">
        <v>2760</v>
      </c>
      <c r="G703" s="3" t="n">
        <v>2760</v>
      </c>
      <c r="H703" s="3"/>
      <c r="I703" s="1" t="s">
        <v>15</v>
      </c>
      <c r="L703" s="1" t="str">
        <f aca="false">IFERROR(G703/J703,"")</f>
        <v/>
      </c>
    </row>
    <row r="704" customFormat="false" ht="13.8" hidden="false" customHeight="false" outlineLevel="0" collapsed="false">
      <c r="A704" s="1" t="s">
        <v>17</v>
      </c>
      <c r="B704" s="1" t="s">
        <v>297</v>
      </c>
      <c r="C704" s="2" t="n">
        <v>45839</v>
      </c>
      <c r="D704" s="2" t="n">
        <v>45869</v>
      </c>
      <c r="E704" s="1" t="s">
        <v>302</v>
      </c>
      <c r="F704" s="1" t="n">
        <v>1000</v>
      </c>
      <c r="G704" s="3" t="n">
        <v>1000</v>
      </c>
      <c r="H704" s="3"/>
      <c r="I704" s="1" t="s">
        <v>263</v>
      </c>
      <c r="L704" s="1" t="str">
        <f aca="false">IFERROR(G704/J704,"")</f>
        <v/>
      </c>
    </row>
    <row r="705" customFormat="false" ht="13.8" hidden="false" customHeight="false" outlineLevel="0" collapsed="false">
      <c r="A705" s="1" t="s">
        <v>17</v>
      </c>
      <c r="B705" s="1" t="s">
        <v>297</v>
      </c>
      <c r="C705" s="2" t="n">
        <v>45839</v>
      </c>
      <c r="D705" s="2" t="n">
        <v>45869</v>
      </c>
      <c r="E705" s="1" t="s">
        <v>302</v>
      </c>
      <c r="F705" s="1" t="n">
        <v>999</v>
      </c>
      <c r="G705" s="1" t="n">
        <v>999</v>
      </c>
      <c r="I705" s="1" t="s">
        <v>263</v>
      </c>
      <c r="L705" s="1" t="str">
        <f aca="false">IFERROR(G705/J705,"")</f>
        <v/>
      </c>
    </row>
    <row r="706" customFormat="false" ht="13.8" hidden="false" customHeight="false" outlineLevel="0" collapsed="false">
      <c r="A706" s="1" t="s">
        <v>17</v>
      </c>
      <c r="B706" s="1" t="s">
        <v>297</v>
      </c>
      <c r="C706" s="2" t="n">
        <v>45839</v>
      </c>
      <c r="D706" s="2" t="n">
        <v>45869</v>
      </c>
      <c r="E706" s="1" t="s">
        <v>303</v>
      </c>
      <c r="F706" s="1" t="n">
        <v>979.11</v>
      </c>
      <c r="G706" s="1" t="n">
        <v>979.11</v>
      </c>
      <c r="I706" s="1" t="s">
        <v>252</v>
      </c>
      <c r="L706" s="1" t="str">
        <f aca="false">IFERROR(G706/J706,"")</f>
        <v/>
      </c>
    </row>
    <row r="707" customFormat="false" ht="13.8" hidden="false" customHeight="false" outlineLevel="0" collapsed="false">
      <c r="A707" s="1" t="s">
        <v>17</v>
      </c>
      <c r="B707" s="1" t="s">
        <v>297</v>
      </c>
      <c r="C707" s="2" t="n">
        <v>45839</v>
      </c>
      <c r="D707" s="2" t="n">
        <v>45869</v>
      </c>
      <c r="E707" s="1" t="s">
        <v>303</v>
      </c>
      <c r="F707" s="1" t="n">
        <v>277.26</v>
      </c>
      <c r="G707" s="1" t="n">
        <v>277.26</v>
      </c>
      <c r="I707" s="1" t="s">
        <v>252</v>
      </c>
      <c r="L707" s="1" t="str">
        <f aca="false">IFERROR(G707/J707,"")</f>
        <v/>
      </c>
    </row>
    <row r="708" customFormat="false" ht="13.8" hidden="false" customHeight="false" outlineLevel="0" collapsed="false">
      <c r="A708" s="1" t="s">
        <v>12</v>
      </c>
      <c r="B708" s="1" t="s">
        <v>297</v>
      </c>
      <c r="C708" s="2" t="n">
        <v>45839</v>
      </c>
      <c r="D708" s="2" t="n">
        <v>45869</v>
      </c>
      <c r="E708" s="1" t="s">
        <v>302</v>
      </c>
      <c r="F708" s="1" t="n">
        <v>1000</v>
      </c>
      <c r="G708" s="3" t="n">
        <v>1000</v>
      </c>
      <c r="H708" s="3"/>
      <c r="I708" s="1" t="s">
        <v>263</v>
      </c>
      <c r="L708" s="1" t="str">
        <f aca="false">IFERROR(G708/J708,"")</f>
        <v/>
      </c>
    </row>
    <row r="709" customFormat="false" ht="13.8" hidden="false" customHeight="false" outlineLevel="0" collapsed="false">
      <c r="A709" s="1" t="s">
        <v>12</v>
      </c>
      <c r="B709" s="1" t="s">
        <v>297</v>
      </c>
      <c r="C709" s="2" t="n">
        <v>45841</v>
      </c>
      <c r="D709" s="2" t="n">
        <v>45869</v>
      </c>
      <c r="E709" s="1" t="s">
        <v>72</v>
      </c>
      <c r="F709" s="1" t="n">
        <v>4920</v>
      </c>
      <c r="G709" s="3" t="n">
        <v>4920</v>
      </c>
      <c r="H709" s="3"/>
      <c r="I709" s="1" t="s">
        <v>15</v>
      </c>
      <c r="L709" s="1" t="str">
        <f aca="false">IFERROR(G709/J709,"")</f>
        <v/>
      </c>
    </row>
    <row r="710" customFormat="false" ht="13.8" hidden="false" customHeight="false" outlineLevel="0" collapsed="false">
      <c r="A710" s="1" t="s">
        <v>17</v>
      </c>
      <c r="B710" s="1" t="s">
        <v>297</v>
      </c>
      <c r="C710" s="2" t="n">
        <v>45869</v>
      </c>
      <c r="D710" s="2" t="n">
        <v>45869</v>
      </c>
      <c r="E710" s="1" t="s">
        <v>22</v>
      </c>
      <c r="F710" s="1" t="n">
        <v>340</v>
      </c>
      <c r="G710" s="1" t="n">
        <v>340</v>
      </c>
      <c r="I710" s="1" t="s">
        <v>15</v>
      </c>
      <c r="L710" s="1" t="str">
        <f aca="false">IFERROR(G710/J710,"")</f>
        <v/>
      </c>
    </row>
    <row r="711" customFormat="false" ht="13.8" hidden="false" customHeight="false" outlineLevel="0" collapsed="false">
      <c r="A711" s="1" t="s">
        <v>12</v>
      </c>
      <c r="B711" s="1" t="s">
        <v>297</v>
      </c>
      <c r="C711" s="2" t="n">
        <v>45869</v>
      </c>
      <c r="D711" s="2" t="n">
        <v>45869</v>
      </c>
      <c r="E711" s="1" t="s">
        <v>22</v>
      </c>
      <c r="F711" s="1" t="n">
        <v>340</v>
      </c>
      <c r="G711" s="1" t="n">
        <v>340</v>
      </c>
      <c r="I711" s="1" t="s">
        <v>15</v>
      </c>
      <c r="L711" s="1" t="str">
        <f aca="false">IFERROR(G711/J711,"")</f>
        <v/>
      </c>
    </row>
    <row r="712" customFormat="false" ht="13.8" hidden="false" customHeight="false" outlineLevel="0" collapsed="false">
      <c r="A712" s="1" t="s">
        <v>50</v>
      </c>
      <c r="B712" s="1" t="s">
        <v>297</v>
      </c>
      <c r="C712" s="2" t="n">
        <v>45842</v>
      </c>
      <c r="D712" s="2" t="n">
        <v>45872</v>
      </c>
      <c r="E712" s="1" t="s">
        <v>104</v>
      </c>
      <c r="F712" s="1" t="n">
        <v>1500</v>
      </c>
      <c r="G712" s="3" t="n">
        <v>1500</v>
      </c>
      <c r="H712" s="3"/>
      <c r="I712" s="1" t="s">
        <v>15</v>
      </c>
      <c r="L712" s="1" t="str">
        <f aca="false">IFERROR(G712/J712,"")</f>
        <v/>
      </c>
    </row>
    <row r="713" customFormat="false" ht="13.8" hidden="false" customHeight="false" outlineLevel="0" collapsed="false">
      <c r="A713" s="1" t="s">
        <v>17</v>
      </c>
      <c r="B713" s="1" t="s">
        <v>297</v>
      </c>
      <c r="C713" s="2" t="n">
        <v>45842</v>
      </c>
      <c r="D713" s="2" t="n">
        <v>45872</v>
      </c>
      <c r="E713" s="1" t="s">
        <v>104</v>
      </c>
      <c r="F713" s="1" t="n">
        <v>1000</v>
      </c>
      <c r="G713" s="3" t="n">
        <v>1000</v>
      </c>
      <c r="H713" s="3"/>
      <c r="I713" s="1" t="s">
        <v>15</v>
      </c>
      <c r="L713" s="1" t="str">
        <f aca="false">IFERROR(G713/J713,"")</f>
        <v/>
      </c>
    </row>
    <row r="714" customFormat="false" ht="13.8" hidden="false" customHeight="false" outlineLevel="0" collapsed="false">
      <c r="A714" s="1" t="s">
        <v>17</v>
      </c>
      <c r="B714" s="1" t="s">
        <v>297</v>
      </c>
      <c r="C714" s="2" t="n">
        <v>45842</v>
      </c>
      <c r="D714" s="2" t="n">
        <v>45872</v>
      </c>
      <c r="E714" s="1" t="s">
        <v>104</v>
      </c>
      <c r="F714" s="1" t="n">
        <v>500</v>
      </c>
      <c r="G714" s="1" t="n">
        <v>500</v>
      </c>
      <c r="I714" s="1" t="s">
        <v>15</v>
      </c>
      <c r="L714" s="1" t="str">
        <f aca="false">IFERROR(G714/J714,"")</f>
        <v/>
      </c>
    </row>
    <row r="715" customFormat="false" ht="13.8" hidden="false" customHeight="false" outlineLevel="0" collapsed="false">
      <c r="A715" s="1" t="s">
        <v>17</v>
      </c>
      <c r="B715" s="1" t="s">
        <v>297</v>
      </c>
      <c r="C715" s="2" t="n">
        <v>45868</v>
      </c>
      <c r="D715" s="2" t="n">
        <v>45874</v>
      </c>
      <c r="E715" s="1" t="s">
        <v>33</v>
      </c>
      <c r="F715" s="1" t="n">
        <v>3281.53</v>
      </c>
      <c r="G715" s="3" t="n">
        <v>3281.53</v>
      </c>
      <c r="H715" s="3"/>
      <c r="I715" s="1" t="s">
        <v>15</v>
      </c>
      <c r="L715" s="1" t="str">
        <f aca="false">IFERROR(G715/J715,"")</f>
        <v/>
      </c>
    </row>
    <row r="716" customFormat="false" ht="13.8" hidden="false" customHeight="false" outlineLevel="0" collapsed="false">
      <c r="A716" s="1" t="s">
        <v>12</v>
      </c>
      <c r="B716" s="1" t="s">
        <v>304</v>
      </c>
      <c r="C716" s="2" t="n">
        <v>45874</v>
      </c>
      <c r="D716" s="2" t="n">
        <v>45877</v>
      </c>
      <c r="E716" s="1" t="s">
        <v>40</v>
      </c>
      <c r="F716" s="1" t="n">
        <v>787.5</v>
      </c>
      <c r="G716" s="1" t="n">
        <v>787.5</v>
      </c>
      <c r="I716" s="1" t="s">
        <v>15</v>
      </c>
      <c r="L716" s="1" t="str">
        <f aca="false">IFERROR(G716/J716,"")</f>
        <v/>
      </c>
    </row>
    <row r="717" customFormat="false" ht="13.8" hidden="false" customHeight="false" outlineLevel="0" collapsed="false">
      <c r="A717" s="1" t="s">
        <v>17</v>
      </c>
      <c r="B717" s="1" t="s">
        <v>304</v>
      </c>
      <c r="C717" s="2" t="n">
        <v>45874</v>
      </c>
      <c r="D717" s="2" t="n">
        <v>45878</v>
      </c>
      <c r="E717" s="1" t="s">
        <v>249</v>
      </c>
      <c r="F717" s="1" t="n">
        <v>2250</v>
      </c>
      <c r="G717" s="3" t="n">
        <v>2250</v>
      </c>
      <c r="H717" s="3"/>
      <c r="I717" s="1" t="s">
        <v>19</v>
      </c>
      <c r="L717" s="1" t="str">
        <f aca="false">IFERROR(G717/J717,"")</f>
        <v/>
      </c>
    </row>
    <row r="718" customFormat="false" ht="13.8" hidden="false" customHeight="false" outlineLevel="0" collapsed="false">
      <c r="A718" s="1" t="s">
        <v>38</v>
      </c>
      <c r="B718" s="1" t="s">
        <v>304</v>
      </c>
      <c r="C718" s="2" t="n">
        <v>45874</v>
      </c>
      <c r="D718" s="2" t="n">
        <v>45878</v>
      </c>
      <c r="E718" s="1" t="s">
        <v>249</v>
      </c>
      <c r="F718" s="1" t="n">
        <v>2250</v>
      </c>
      <c r="G718" s="3" t="n">
        <v>2250</v>
      </c>
      <c r="H718" s="3"/>
      <c r="I718" s="1" t="s">
        <v>19</v>
      </c>
      <c r="L718" s="1" t="str">
        <f aca="false">IFERROR(G718/J718,"")</f>
        <v/>
      </c>
    </row>
    <row r="719" customFormat="false" ht="13.8" hidden="false" customHeight="false" outlineLevel="0" collapsed="false">
      <c r="A719" s="1" t="s">
        <v>17</v>
      </c>
      <c r="B719" s="1" t="s">
        <v>304</v>
      </c>
      <c r="C719" s="2" t="n">
        <v>45876</v>
      </c>
      <c r="D719" s="2" t="n">
        <v>45878</v>
      </c>
      <c r="E719" s="1" t="s">
        <v>37</v>
      </c>
      <c r="F719" s="1" t="n">
        <v>1200</v>
      </c>
      <c r="G719" s="3" t="n">
        <v>1200</v>
      </c>
      <c r="H719" s="3"/>
      <c r="I719" s="1" t="s">
        <v>15</v>
      </c>
      <c r="L719" s="1" t="str">
        <f aca="false">IFERROR(G719/J719,"")</f>
        <v/>
      </c>
    </row>
    <row r="720" customFormat="false" ht="13.8" hidden="false" customHeight="false" outlineLevel="0" collapsed="false">
      <c r="A720" s="1" t="s">
        <v>12</v>
      </c>
      <c r="B720" s="1" t="s">
        <v>304</v>
      </c>
      <c r="C720" s="2" t="n">
        <v>45881</v>
      </c>
      <c r="D720" s="2" t="n">
        <v>45881</v>
      </c>
      <c r="E720" s="1" t="s">
        <v>116</v>
      </c>
      <c r="F720" s="1" t="n">
        <v>1700</v>
      </c>
      <c r="G720" s="3" t="n">
        <v>1700</v>
      </c>
      <c r="H720" s="3"/>
      <c r="I720" s="1" t="s">
        <v>15</v>
      </c>
      <c r="L720" s="1" t="str">
        <f aca="false">IFERROR(G720/J720,"")</f>
        <v/>
      </c>
    </row>
    <row r="721" customFormat="false" ht="13.8" hidden="false" customHeight="false" outlineLevel="0" collapsed="false">
      <c r="A721" s="1" t="s">
        <v>12</v>
      </c>
      <c r="B721" s="1" t="s">
        <v>297</v>
      </c>
      <c r="C721" s="2" t="n">
        <v>45868</v>
      </c>
      <c r="D721" s="2" t="n">
        <v>45884</v>
      </c>
      <c r="E721" s="1" t="s">
        <v>136</v>
      </c>
      <c r="F721" s="1" t="n">
        <v>2502.5</v>
      </c>
      <c r="G721" s="3" t="n">
        <v>2502.5</v>
      </c>
      <c r="H721" s="3"/>
      <c r="I721" s="1" t="s">
        <v>19</v>
      </c>
      <c r="L721" s="1" t="str">
        <f aca="false">IFERROR(G721/J721,"")</f>
        <v/>
      </c>
    </row>
    <row r="722" customFormat="false" ht="13.8" hidden="false" customHeight="false" outlineLevel="0" collapsed="false">
      <c r="A722" s="1" t="s">
        <v>17</v>
      </c>
      <c r="B722" s="1" t="s">
        <v>304</v>
      </c>
      <c r="C722" s="2" t="n">
        <v>45876</v>
      </c>
      <c r="D722" s="2" t="n">
        <v>45884</v>
      </c>
      <c r="E722" s="1" t="s">
        <v>112</v>
      </c>
      <c r="F722" s="1" t="n">
        <v>1264.03</v>
      </c>
      <c r="G722" s="3" t="n">
        <v>1264.03</v>
      </c>
      <c r="H722" s="3"/>
      <c r="I722" s="1" t="s">
        <v>15</v>
      </c>
      <c r="L722" s="1" t="str">
        <f aca="false">IFERROR(G722/J722,"")</f>
        <v/>
      </c>
    </row>
    <row r="723" customFormat="false" ht="13.8" hidden="false" customHeight="false" outlineLevel="0" collapsed="false">
      <c r="A723" s="1" t="s">
        <v>12</v>
      </c>
      <c r="B723" s="1" t="s">
        <v>304</v>
      </c>
      <c r="C723" s="2" t="n">
        <v>45882</v>
      </c>
      <c r="D723" s="2" t="n">
        <v>45884</v>
      </c>
      <c r="E723" s="1" t="s">
        <v>70</v>
      </c>
      <c r="F723" s="1" t="n">
        <v>1500</v>
      </c>
      <c r="G723" s="3" t="n">
        <v>1500</v>
      </c>
      <c r="H723" s="3"/>
      <c r="I723" s="1" t="s">
        <v>15</v>
      </c>
      <c r="L723" s="1" t="str">
        <f aca="false">IFERROR(G723/J723,"")</f>
        <v/>
      </c>
    </row>
    <row r="724" customFormat="false" ht="13.8" hidden="false" customHeight="false" outlineLevel="0" collapsed="false">
      <c r="A724" s="1" t="s">
        <v>12</v>
      </c>
      <c r="B724" s="1" t="s">
        <v>304</v>
      </c>
      <c r="C724" s="2" t="n">
        <v>45885</v>
      </c>
      <c r="D724" s="2" t="n">
        <v>45885</v>
      </c>
      <c r="E724" s="1" t="s">
        <v>79</v>
      </c>
      <c r="F724" s="1" t="n">
        <v>1200</v>
      </c>
      <c r="G724" s="3" t="n">
        <v>1200</v>
      </c>
      <c r="H724" s="3"/>
      <c r="I724" s="1" t="s">
        <v>15</v>
      </c>
      <c r="L724" s="1" t="str">
        <f aca="false">IFERROR(G724/J724,"")</f>
        <v/>
      </c>
    </row>
    <row r="725" customFormat="false" ht="13.8" hidden="false" customHeight="false" outlineLevel="0" collapsed="false">
      <c r="A725" s="1" t="s">
        <v>17</v>
      </c>
      <c r="B725" s="1" t="s">
        <v>297</v>
      </c>
      <c r="C725" s="2" t="n">
        <v>45857</v>
      </c>
      <c r="D725" s="2" t="n">
        <v>45887</v>
      </c>
      <c r="E725" s="1" t="s">
        <v>305</v>
      </c>
      <c r="F725" s="1" t="n">
        <v>3960</v>
      </c>
      <c r="G725" s="3" t="n">
        <v>3960</v>
      </c>
      <c r="H725" s="3"/>
      <c r="I725" s="1" t="s">
        <v>15</v>
      </c>
      <c r="L725" s="1" t="str">
        <f aca="false">IFERROR(G725/J725,"")</f>
        <v/>
      </c>
    </row>
    <row r="726" customFormat="false" ht="13.8" hidden="false" customHeight="false" outlineLevel="0" collapsed="false">
      <c r="A726" s="1" t="s">
        <v>50</v>
      </c>
      <c r="B726" s="1" t="s">
        <v>304</v>
      </c>
      <c r="C726" s="2" t="n">
        <v>45870</v>
      </c>
      <c r="D726" s="2" t="n">
        <v>45891</v>
      </c>
      <c r="E726" s="1" t="s">
        <v>73</v>
      </c>
      <c r="F726" s="1" t="n">
        <v>8733.23</v>
      </c>
      <c r="G726" s="3" t="n">
        <v>8733.23</v>
      </c>
      <c r="H726" s="3"/>
      <c r="I726" s="1" t="s">
        <v>15</v>
      </c>
      <c r="L726" s="1" t="str">
        <f aca="false">IFERROR(G726/J726,"")</f>
        <v/>
      </c>
    </row>
    <row r="727" customFormat="false" ht="13.8" hidden="false" customHeight="false" outlineLevel="0" collapsed="false">
      <c r="A727" s="1" t="s">
        <v>17</v>
      </c>
      <c r="B727" s="1" t="s">
        <v>304</v>
      </c>
      <c r="C727" s="2" t="n">
        <v>45880</v>
      </c>
      <c r="D727" s="2" t="n">
        <v>45891</v>
      </c>
      <c r="E727" s="1" t="s">
        <v>84</v>
      </c>
      <c r="F727" s="1" t="n">
        <v>4000</v>
      </c>
      <c r="G727" s="3" t="n">
        <v>4000</v>
      </c>
      <c r="H727" s="3"/>
      <c r="I727" s="1" t="s">
        <v>15</v>
      </c>
      <c r="L727" s="1" t="str">
        <f aca="false">IFERROR(G727/J727,"")</f>
        <v/>
      </c>
    </row>
    <row r="728" customFormat="false" ht="13.8" hidden="false" customHeight="false" outlineLevel="0" collapsed="false">
      <c r="A728" s="1" t="s">
        <v>50</v>
      </c>
      <c r="B728" s="1" t="s">
        <v>297</v>
      </c>
      <c r="C728" s="2" t="n">
        <v>45863</v>
      </c>
      <c r="D728" s="2" t="n">
        <v>45893</v>
      </c>
      <c r="E728" s="1" t="s">
        <v>260</v>
      </c>
      <c r="F728" s="1" t="n">
        <v>1000</v>
      </c>
      <c r="G728" s="3" t="n">
        <v>1000</v>
      </c>
      <c r="H728" s="3"/>
      <c r="I728" s="1" t="s">
        <v>19</v>
      </c>
      <c r="L728" s="1" t="str">
        <f aca="false">IFERROR(G728/J728,"")</f>
        <v/>
      </c>
    </row>
    <row r="729" customFormat="false" ht="13.8" hidden="false" customHeight="false" outlineLevel="0" collapsed="false">
      <c r="A729" s="1" t="s">
        <v>50</v>
      </c>
      <c r="B729" s="1" t="s">
        <v>297</v>
      </c>
      <c r="C729" s="2" t="n">
        <v>45863</v>
      </c>
      <c r="D729" s="2" t="n">
        <v>45893</v>
      </c>
      <c r="E729" s="1" t="s">
        <v>260</v>
      </c>
      <c r="F729" s="1" t="n">
        <v>1000</v>
      </c>
      <c r="G729" s="3" t="n">
        <v>1000</v>
      </c>
      <c r="H729" s="3"/>
      <c r="I729" s="1" t="s">
        <v>19</v>
      </c>
      <c r="L729" s="1" t="str">
        <f aca="false">IFERROR(G729/J729,"")</f>
        <v/>
      </c>
    </row>
    <row r="730" customFormat="false" ht="13.8" hidden="false" customHeight="false" outlineLevel="0" collapsed="false">
      <c r="A730" s="1" t="s">
        <v>50</v>
      </c>
      <c r="B730" s="1" t="s">
        <v>297</v>
      </c>
      <c r="C730" s="2" t="n">
        <v>45867</v>
      </c>
      <c r="D730" s="2" t="n">
        <v>45897</v>
      </c>
      <c r="E730" s="1" t="s">
        <v>262</v>
      </c>
      <c r="F730" s="1" t="n">
        <v>2000</v>
      </c>
      <c r="G730" s="3" t="n">
        <v>2000</v>
      </c>
      <c r="H730" s="3"/>
      <c r="I730" s="1" t="s">
        <v>263</v>
      </c>
      <c r="L730" s="1" t="str">
        <f aca="false">IFERROR(G730/J730,"")</f>
        <v/>
      </c>
    </row>
    <row r="731" customFormat="false" ht="13.8" hidden="false" customHeight="false" outlineLevel="0" collapsed="false">
      <c r="A731" s="1" t="s">
        <v>17</v>
      </c>
      <c r="B731" s="1" t="s">
        <v>297</v>
      </c>
      <c r="C731" s="2" t="n">
        <v>45867</v>
      </c>
      <c r="D731" s="2" t="n">
        <v>45897</v>
      </c>
      <c r="E731" s="1" t="s">
        <v>262</v>
      </c>
      <c r="F731" s="1" t="n">
        <v>1000</v>
      </c>
      <c r="G731" s="3" t="n">
        <v>1000</v>
      </c>
      <c r="H731" s="3"/>
      <c r="I731" s="1" t="s">
        <v>263</v>
      </c>
      <c r="L731" s="1" t="str">
        <f aca="false">IFERROR(G731/J731,"")</f>
        <v/>
      </c>
    </row>
    <row r="732" customFormat="false" ht="13.8" hidden="false" customHeight="false" outlineLevel="0" collapsed="false">
      <c r="A732" s="1" t="s">
        <v>17</v>
      </c>
      <c r="B732" s="1" t="s">
        <v>297</v>
      </c>
      <c r="C732" s="2" t="n">
        <v>45867</v>
      </c>
      <c r="D732" s="2" t="n">
        <v>45897</v>
      </c>
      <c r="E732" s="1" t="s">
        <v>262</v>
      </c>
      <c r="F732" s="1" t="n">
        <v>999</v>
      </c>
      <c r="G732" s="1" t="n">
        <v>999</v>
      </c>
      <c r="I732" s="1" t="s">
        <v>263</v>
      </c>
      <c r="L732" s="1" t="str">
        <f aca="false">IFERROR(G732/J732,"")</f>
        <v/>
      </c>
    </row>
    <row r="733" customFormat="false" ht="13.8" hidden="false" customHeight="false" outlineLevel="0" collapsed="false">
      <c r="A733" s="1" t="s">
        <v>12</v>
      </c>
      <c r="B733" s="1" t="s">
        <v>297</v>
      </c>
      <c r="C733" s="2" t="n">
        <v>45867</v>
      </c>
      <c r="D733" s="2" t="n">
        <v>45897</v>
      </c>
      <c r="E733" s="1" t="s">
        <v>262</v>
      </c>
      <c r="F733" s="1" t="n">
        <v>1000</v>
      </c>
      <c r="G733" s="3" t="n">
        <v>1000</v>
      </c>
      <c r="H733" s="3"/>
      <c r="I733" s="1" t="s">
        <v>263</v>
      </c>
      <c r="L733" s="1" t="str">
        <f aca="false">IFERROR(G733/J733,"")</f>
        <v/>
      </c>
    </row>
    <row r="734" customFormat="false" ht="13.8" hidden="false" customHeight="false" outlineLevel="0" collapsed="false">
      <c r="A734" s="1" t="s">
        <v>12</v>
      </c>
      <c r="B734" s="1" t="s">
        <v>304</v>
      </c>
      <c r="C734" s="2" t="n">
        <v>45882</v>
      </c>
      <c r="D734" s="2" t="n">
        <v>45897</v>
      </c>
      <c r="E734" s="1" t="s">
        <v>40</v>
      </c>
      <c r="F734" s="1" t="n">
        <v>2362.5</v>
      </c>
      <c r="G734" s="3" t="n">
        <v>2362.5</v>
      </c>
      <c r="H734" s="3"/>
      <c r="I734" s="1" t="s">
        <v>15</v>
      </c>
      <c r="L734" s="1" t="str">
        <f aca="false">IFERROR(G734/J734,"")</f>
        <v/>
      </c>
    </row>
    <row r="735" customFormat="false" ht="13.8" hidden="false" customHeight="false" outlineLevel="0" collapsed="false">
      <c r="A735" s="1" t="s">
        <v>17</v>
      </c>
      <c r="B735" s="1" t="s">
        <v>304</v>
      </c>
      <c r="C735" s="2" t="n">
        <v>45870</v>
      </c>
      <c r="D735" s="2" t="n">
        <v>45898</v>
      </c>
      <c r="E735" s="1" t="s">
        <v>295</v>
      </c>
      <c r="F735" s="1" t="n">
        <v>3024</v>
      </c>
      <c r="G735" s="3" t="n">
        <v>3024</v>
      </c>
      <c r="H735" s="3"/>
      <c r="I735" s="1" t="s">
        <v>15</v>
      </c>
      <c r="L735" s="1" t="str">
        <f aca="false">IFERROR(G735/J735,"")</f>
        <v/>
      </c>
    </row>
    <row r="736" customFormat="false" ht="13.8" hidden="false" customHeight="false" outlineLevel="0" collapsed="false">
      <c r="A736" s="1" t="s">
        <v>17</v>
      </c>
      <c r="B736" s="1" t="s">
        <v>304</v>
      </c>
      <c r="C736" s="2" t="n">
        <v>45870</v>
      </c>
      <c r="D736" s="2" t="n">
        <v>45898</v>
      </c>
      <c r="E736" s="1" t="s">
        <v>46</v>
      </c>
      <c r="F736" s="1" t="n">
        <v>3024</v>
      </c>
      <c r="G736" s="3" t="n">
        <v>3024</v>
      </c>
      <c r="H736" s="3"/>
      <c r="I736" s="1" t="s">
        <v>15</v>
      </c>
      <c r="L736" s="1" t="str">
        <f aca="false">IFERROR(G736/J736,"")</f>
        <v/>
      </c>
    </row>
    <row r="737" customFormat="false" ht="13.8" hidden="false" customHeight="false" outlineLevel="0" collapsed="false">
      <c r="A737" s="1" t="s">
        <v>17</v>
      </c>
      <c r="B737" s="1" t="s">
        <v>304</v>
      </c>
      <c r="C737" s="2" t="n">
        <v>45870</v>
      </c>
      <c r="D737" s="2" t="n">
        <v>45898</v>
      </c>
      <c r="E737" s="1" t="s">
        <v>119</v>
      </c>
      <c r="F737" s="1" t="n">
        <v>3024</v>
      </c>
      <c r="G737" s="3" t="n">
        <v>3024</v>
      </c>
      <c r="H737" s="3"/>
      <c r="I737" s="1" t="s">
        <v>15</v>
      </c>
      <c r="L737" s="1" t="str">
        <f aca="false">IFERROR(G737/J737,"")</f>
        <v/>
      </c>
    </row>
    <row r="738" customFormat="false" ht="13.8" hidden="false" customHeight="false" outlineLevel="0" collapsed="false">
      <c r="A738" s="1" t="s">
        <v>17</v>
      </c>
      <c r="B738" s="1" t="s">
        <v>304</v>
      </c>
      <c r="C738" s="2" t="n">
        <v>45870</v>
      </c>
      <c r="D738" s="2" t="n">
        <v>45898</v>
      </c>
      <c r="E738" s="1" t="s">
        <v>112</v>
      </c>
      <c r="F738" s="1" t="n">
        <v>2106.72</v>
      </c>
      <c r="G738" s="3" t="n">
        <v>2106.72</v>
      </c>
      <c r="H738" s="3"/>
      <c r="I738" s="1" t="s">
        <v>15</v>
      </c>
      <c r="L738" s="1" t="str">
        <f aca="false">IFERROR(G738/J738,"")</f>
        <v/>
      </c>
    </row>
    <row r="739" customFormat="false" ht="13.8" hidden="false" customHeight="false" outlineLevel="0" collapsed="false">
      <c r="A739" s="1" t="s">
        <v>12</v>
      </c>
      <c r="B739" s="1" t="s">
        <v>304</v>
      </c>
      <c r="C739" s="2" t="n">
        <v>45870</v>
      </c>
      <c r="D739" s="2" t="n">
        <v>45898</v>
      </c>
      <c r="E739" s="1" t="s">
        <v>72</v>
      </c>
      <c r="F739" s="1" t="n">
        <v>4920</v>
      </c>
      <c r="G739" s="3" t="n">
        <v>4920</v>
      </c>
      <c r="H739" s="3"/>
      <c r="I739" s="1" t="s">
        <v>15</v>
      </c>
      <c r="L739" s="1" t="str">
        <f aca="false">IFERROR(G739/J739,"")</f>
        <v/>
      </c>
    </row>
    <row r="740" customFormat="false" ht="13.8" hidden="false" customHeight="false" outlineLevel="0" collapsed="false">
      <c r="A740" s="1" t="s">
        <v>12</v>
      </c>
      <c r="B740" s="1" t="s">
        <v>304</v>
      </c>
      <c r="C740" s="2" t="n">
        <v>45870</v>
      </c>
      <c r="D740" s="2" t="n">
        <v>45898</v>
      </c>
      <c r="E740" s="1" t="s">
        <v>21</v>
      </c>
      <c r="F740" s="1" t="n">
        <v>5091.53</v>
      </c>
      <c r="G740" s="3" t="n">
        <v>5091.53</v>
      </c>
      <c r="H740" s="3"/>
      <c r="I740" s="1" t="s">
        <v>15</v>
      </c>
      <c r="L740" s="1" t="str">
        <f aca="false">IFERROR(G740/J740,"")</f>
        <v/>
      </c>
    </row>
    <row r="741" customFormat="false" ht="13.8" hidden="false" customHeight="false" outlineLevel="0" collapsed="false">
      <c r="A741" s="1" t="s">
        <v>17</v>
      </c>
      <c r="B741" s="1" t="s">
        <v>304</v>
      </c>
      <c r="C741" s="2" t="n">
        <v>45874</v>
      </c>
      <c r="D741" s="2" t="n">
        <v>45898</v>
      </c>
      <c r="E741" s="1" t="s">
        <v>160</v>
      </c>
      <c r="F741" s="1" t="n">
        <v>4800</v>
      </c>
      <c r="G741" s="3" t="n">
        <v>4800</v>
      </c>
      <c r="H741" s="3"/>
      <c r="I741" s="1" t="s">
        <v>15</v>
      </c>
      <c r="L741" s="1" t="str">
        <f aca="false">IFERROR(G741/J741,"")</f>
        <v/>
      </c>
    </row>
    <row r="742" customFormat="false" ht="13.8" hidden="false" customHeight="false" outlineLevel="0" collapsed="false">
      <c r="A742" s="1" t="s">
        <v>50</v>
      </c>
      <c r="B742" s="1" t="s">
        <v>304</v>
      </c>
      <c r="C742" s="2" t="n">
        <v>45870</v>
      </c>
      <c r="D742" s="2" t="n">
        <v>45899</v>
      </c>
      <c r="E742" s="1" t="s">
        <v>110</v>
      </c>
      <c r="F742" s="1" t="n">
        <v>11842.8</v>
      </c>
      <c r="G742" s="3" t="n">
        <v>11842.8</v>
      </c>
      <c r="H742" s="3"/>
      <c r="I742" s="1" t="s">
        <v>19</v>
      </c>
      <c r="L742" s="1" t="str">
        <f aca="false">IFERROR(G742/J742,"")</f>
        <v/>
      </c>
    </row>
    <row r="743" customFormat="false" ht="13.8" hidden="false" customHeight="false" outlineLevel="0" collapsed="false">
      <c r="A743" s="1" t="s">
        <v>17</v>
      </c>
      <c r="B743" s="1" t="s">
        <v>304</v>
      </c>
      <c r="C743" s="2" t="n">
        <v>45870</v>
      </c>
      <c r="D743" s="2" t="n">
        <v>45899</v>
      </c>
      <c r="E743" s="1" t="s">
        <v>118</v>
      </c>
      <c r="F743" s="1" t="n">
        <v>3292.9</v>
      </c>
      <c r="G743" s="3" t="n">
        <v>3292.9</v>
      </c>
      <c r="H743" s="3"/>
      <c r="I743" s="1" t="s">
        <v>19</v>
      </c>
      <c r="L743" s="1" t="str">
        <f aca="false">IFERROR(G743/J743,"")</f>
        <v/>
      </c>
    </row>
    <row r="744" customFormat="false" ht="13.8" hidden="false" customHeight="false" outlineLevel="0" collapsed="false">
      <c r="A744" s="1" t="s">
        <v>12</v>
      </c>
      <c r="B744" s="1" t="s">
        <v>304</v>
      </c>
      <c r="C744" s="2" t="n">
        <v>45870</v>
      </c>
      <c r="D744" s="2" t="n">
        <v>45899</v>
      </c>
      <c r="E744" s="1" t="s">
        <v>110</v>
      </c>
      <c r="F744" s="1" t="n">
        <v>6773.4</v>
      </c>
      <c r="G744" s="3" t="n">
        <v>6773.4</v>
      </c>
      <c r="H744" s="3"/>
      <c r="I744" s="1" t="s">
        <v>19</v>
      </c>
      <c r="L744" s="1" t="str">
        <f aca="false">IFERROR(G744/J744,"")</f>
        <v/>
      </c>
    </row>
    <row r="745" customFormat="false" ht="13.8" hidden="false" customHeight="false" outlineLevel="0" collapsed="false">
      <c r="A745" s="1" t="s">
        <v>12</v>
      </c>
      <c r="B745" s="1" t="s">
        <v>304</v>
      </c>
      <c r="C745" s="2" t="n">
        <v>45870</v>
      </c>
      <c r="D745" s="2" t="n">
        <v>45899</v>
      </c>
      <c r="E745" s="1" t="s">
        <v>292</v>
      </c>
      <c r="F745" s="1" t="n">
        <v>4999</v>
      </c>
      <c r="G745" s="3" t="n">
        <v>4999</v>
      </c>
      <c r="H745" s="3"/>
      <c r="I745" s="1" t="s">
        <v>252</v>
      </c>
      <c r="L745" s="1" t="str">
        <f aca="false">IFERROR(G745/J745,"")</f>
        <v/>
      </c>
    </row>
    <row r="746" customFormat="false" ht="13.8" hidden="false" customHeight="false" outlineLevel="0" collapsed="false">
      <c r="A746" s="1" t="s">
        <v>12</v>
      </c>
      <c r="B746" s="1" t="s">
        <v>304</v>
      </c>
      <c r="C746" s="2" t="n">
        <v>45892</v>
      </c>
      <c r="D746" s="2" t="n">
        <v>45899</v>
      </c>
      <c r="E746" s="1" t="s">
        <v>116</v>
      </c>
      <c r="F746" s="1" t="n">
        <v>6800</v>
      </c>
      <c r="G746" s="3" t="n">
        <v>6800</v>
      </c>
      <c r="H746" s="3"/>
      <c r="I746" s="1" t="s">
        <v>15</v>
      </c>
      <c r="L746" s="1" t="str">
        <f aca="false">IFERROR(G746/J746,"")</f>
        <v/>
      </c>
    </row>
    <row r="747" customFormat="false" ht="13.8" hidden="false" customHeight="false" outlineLevel="0" collapsed="false">
      <c r="A747" s="1" t="s">
        <v>50</v>
      </c>
      <c r="B747" s="1" t="s">
        <v>304</v>
      </c>
      <c r="C747" s="2" t="n">
        <v>45870</v>
      </c>
      <c r="D747" s="2" t="n">
        <v>45900</v>
      </c>
      <c r="E747" s="1" t="s">
        <v>302</v>
      </c>
      <c r="F747" s="1" t="n">
        <v>1100</v>
      </c>
      <c r="G747" s="3" t="n">
        <v>1100</v>
      </c>
      <c r="H747" s="3"/>
      <c r="I747" s="1" t="s">
        <v>263</v>
      </c>
      <c r="L747" s="1" t="str">
        <f aca="false">IFERROR(G747/J747,"")</f>
        <v/>
      </c>
    </row>
    <row r="748" customFormat="false" ht="13.8" hidden="false" customHeight="false" outlineLevel="0" collapsed="false">
      <c r="A748" s="1" t="s">
        <v>50</v>
      </c>
      <c r="B748" s="1" t="s">
        <v>304</v>
      </c>
      <c r="C748" s="2" t="n">
        <v>45870</v>
      </c>
      <c r="D748" s="2" t="n">
        <v>45900</v>
      </c>
      <c r="E748" s="1" t="s">
        <v>302</v>
      </c>
      <c r="F748" s="1" t="n">
        <v>900</v>
      </c>
      <c r="G748" s="1" t="n">
        <v>900</v>
      </c>
      <c r="I748" s="1" t="s">
        <v>263</v>
      </c>
      <c r="L748" s="1" t="str">
        <f aca="false">IFERROR(G748/J748,"")</f>
        <v/>
      </c>
    </row>
    <row r="749" customFormat="false" ht="13.8" hidden="false" customHeight="false" outlineLevel="0" collapsed="false">
      <c r="A749" s="1" t="s">
        <v>50</v>
      </c>
      <c r="B749" s="1" t="s">
        <v>304</v>
      </c>
      <c r="C749" s="2" t="n">
        <v>45870</v>
      </c>
      <c r="D749" s="2" t="n">
        <v>45900</v>
      </c>
      <c r="E749" s="1" t="s">
        <v>303</v>
      </c>
      <c r="F749" s="1" t="n">
        <v>742.63</v>
      </c>
      <c r="G749" s="1" t="n">
        <v>742.63</v>
      </c>
      <c r="I749" s="1" t="s">
        <v>252</v>
      </c>
      <c r="L749" s="1" t="str">
        <f aca="false">IFERROR(G749/J749,"")</f>
        <v/>
      </c>
    </row>
    <row r="750" customFormat="false" ht="13.8" hidden="false" customHeight="false" outlineLevel="0" collapsed="false">
      <c r="A750" s="1" t="s">
        <v>50</v>
      </c>
      <c r="B750" s="1" t="s">
        <v>304</v>
      </c>
      <c r="C750" s="2" t="n">
        <v>45870</v>
      </c>
      <c r="D750" s="2" t="n">
        <v>45900</v>
      </c>
      <c r="E750" s="1" t="s">
        <v>306</v>
      </c>
      <c r="F750" s="1" t="n">
        <v>433.89</v>
      </c>
      <c r="G750" s="1" t="n">
        <v>433.89</v>
      </c>
      <c r="I750" s="1" t="s">
        <v>307</v>
      </c>
      <c r="L750" s="1" t="str">
        <f aca="false">IFERROR(G750/J750,"")</f>
        <v/>
      </c>
    </row>
    <row r="751" customFormat="false" ht="13.8" hidden="false" customHeight="false" outlineLevel="0" collapsed="false">
      <c r="A751" s="1" t="s">
        <v>17</v>
      </c>
      <c r="B751" s="1" t="s">
        <v>304</v>
      </c>
      <c r="C751" s="2" t="n">
        <v>45870</v>
      </c>
      <c r="D751" s="2" t="n">
        <v>45900</v>
      </c>
      <c r="E751" s="1" t="s">
        <v>22</v>
      </c>
      <c r="F751" s="1" t="n">
        <v>8840</v>
      </c>
      <c r="G751" s="3" t="n">
        <v>8840</v>
      </c>
      <c r="H751" s="3"/>
      <c r="I751" s="1" t="s">
        <v>15</v>
      </c>
      <c r="L751" s="1" t="str">
        <f aca="false">IFERROR(G751/J751,"")</f>
        <v/>
      </c>
    </row>
    <row r="752" customFormat="false" ht="13.8" hidden="false" customHeight="false" outlineLevel="0" collapsed="false">
      <c r="A752" s="1" t="s">
        <v>17</v>
      </c>
      <c r="B752" s="1" t="s">
        <v>304</v>
      </c>
      <c r="C752" s="2" t="n">
        <v>45870</v>
      </c>
      <c r="D752" s="2" t="n">
        <v>45900</v>
      </c>
      <c r="E752" s="1" t="s">
        <v>302</v>
      </c>
      <c r="F752" s="1" t="n">
        <v>1000</v>
      </c>
      <c r="G752" s="3" t="n">
        <v>1000</v>
      </c>
      <c r="H752" s="3"/>
      <c r="I752" s="1" t="s">
        <v>263</v>
      </c>
      <c r="L752" s="1" t="str">
        <f aca="false">IFERROR(G752/J752,"")</f>
        <v/>
      </c>
    </row>
    <row r="753" customFormat="false" ht="13.8" hidden="false" customHeight="false" outlineLevel="0" collapsed="false">
      <c r="A753" s="1" t="s">
        <v>17</v>
      </c>
      <c r="B753" s="1" t="s">
        <v>304</v>
      </c>
      <c r="C753" s="2" t="n">
        <v>45870</v>
      </c>
      <c r="D753" s="2" t="n">
        <v>45900</v>
      </c>
      <c r="E753" s="1" t="s">
        <v>302</v>
      </c>
      <c r="F753" s="1" t="n">
        <v>999</v>
      </c>
      <c r="G753" s="1" t="n">
        <v>999</v>
      </c>
      <c r="I753" s="1" t="s">
        <v>263</v>
      </c>
      <c r="L753" s="1" t="str">
        <f aca="false">IFERROR(G753/J753,"")</f>
        <v/>
      </c>
    </row>
    <row r="754" customFormat="false" ht="13.8" hidden="false" customHeight="false" outlineLevel="0" collapsed="false">
      <c r="A754" s="1" t="s">
        <v>17</v>
      </c>
      <c r="B754" s="1" t="s">
        <v>304</v>
      </c>
      <c r="C754" s="2" t="n">
        <v>45870</v>
      </c>
      <c r="D754" s="2" t="n">
        <v>45900</v>
      </c>
      <c r="E754" s="1" t="s">
        <v>303</v>
      </c>
      <c r="F754" s="1" t="n">
        <v>979.11</v>
      </c>
      <c r="G754" s="1" t="n">
        <v>979.11</v>
      </c>
      <c r="I754" s="1" t="s">
        <v>252</v>
      </c>
      <c r="L754" s="1" t="str">
        <f aca="false">IFERROR(G754/J754,"")</f>
        <v/>
      </c>
    </row>
    <row r="755" customFormat="false" ht="13.8" hidden="false" customHeight="false" outlineLevel="0" collapsed="false">
      <c r="A755" s="1" t="s">
        <v>17</v>
      </c>
      <c r="B755" s="1" t="s">
        <v>304</v>
      </c>
      <c r="C755" s="2" t="n">
        <v>45870</v>
      </c>
      <c r="D755" s="2" t="n">
        <v>45900</v>
      </c>
      <c r="E755" s="1" t="s">
        <v>303</v>
      </c>
      <c r="F755" s="1" t="n">
        <v>277.26</v>
      </c>
      <c r="G755" s="1" t="n">
        <v>277.26</v>
      </c>
      <c r="I755" s="1" t="s">
        <v>252</v>
      </c>
      <c r="L755" s="1" t="str">
        <f aca="false">IFERROR(G755/J755,"")</f>
        <v/>
      </c>
    </row>
    <row r="756" customFormat="false" ht="13.8" hidden="false" customHeight="false" outlineLevel="0" collapsed="false">
      <c r="A756" s="1" t="s">
        <v>17</v>
      </c>
      <c r="B756" s="1" t="s">
        <v>304</v>
      </c>
      <c r="C756" s="2" t="n">
        <v>45870</v>
      </c>
      <c r="D756" s="2" t="n">
        <v>45900</v>
      </c>
      <c r="E756" s="1" t="s">
        <v>308</v>
      </c>
      <c r="F756" s="1" t="n">
        <v>677.18</v>
      </c>
      <c r="G756" s="1" t="n">
        <v>677.18</v>
      </c>
      <c r="I756" s="1" t="s">
        <v>307</v>
      </c>
      <c r="L756" s="1" t="str">
        <f aca="false">IFERROR(G756/J756,"")</f>
        <v/>
      </c>
    </row>
    <row r="757" customFormat="false" ht="13.8" hidden="false" customHeight="false" outlineLevel="0" collapsed="false">
      <c r="A757" s="1" t="s">
        <v>12</v>
      </c>
      <c r="B757" s="1" t="s">
        <v>304</v>
      </c>
      <c r="C757" s="2" t="n">
        <v>45870</v>
      </c>
      <c r="D757" s="2" t="n">
        <v>45900</v>
      </c>
      <c r="E757" s="1" t="s">
        <v>22</v>
      </c>
      <c r="F757" s="1" t="n">
        <v>8840</v>
      </c>
      <c r="G757" s="3" t="n">
        <v>8840</v>
      </c>
      <c r="H757" s="3"/>
      <c r="I757" s="1" t="s">
        <v>15</v>
      </c>
      <c r="L757" s="1" t="str">
        <f aca="false">IFERROR(G757/J757,"")</f>
        <v/>
      </c>
    </row>
    <row r="758" customFormat="false" ht="13.8" hidden="false" customHeight="false" outlineLevel="0" collapsed="false">
      <c r="A758" s="1" t="s">
        <v>12</v>
      </c>
      <c r="B758" s="1" t="s">
        <v>304</v>
      </c>
      <c r="C758" s="2" t="n">
        <v>45870</v>
      </c>
      <c r="D758" s="2" t="n">
        <v>45900</v>
      </c>
      <c r="E758" s="1" t="s">
        <v>302</v>
      </c>
      <c r="F758" s="1" t="n">
        <v>1000</v>
      </c>
      <c r="G758" s="3" t="n">
        <v>1000</v>
      </c>
      <c r="H758" s="3"/>
      <c r="I758" s="1" t="s">
        <v>263</v>
      </c>
      <c r="L758" s="1" t="str">
        <f aca="false">IFERROR(G758/J758,"")</f>
        <v/>
      </c>
    </row>
    <row r="759" customFormat="false" ht="13.8" hidden="false" customHeight="false" outlineLevel="0" collapsed="false">
      <c r="A759" s="1" t="s">
        <v>12</v>
      </c>
      <c r="B759" s="1" t="s">
        <v>304</v>
      </c>
      <c r="C759" s="2" t="n">
        <v>45870</v>
      </c>
      <c r="D759" s="2" t="n">
        <v>45900</v>
      </c>
      <c r="E759" s="1" t="s">
        <v>306</v>
      </c>
      <c r="F759" s="1" t="n">
        <v>1662.45</v>
      </c>
      <c r="G759" s="3" t="n">
        <v>1662.45</v>
      </c>
      <c r="H759" s="3"/>
      <c r="I759" s="1" t="s">
        <v>307</v>
      </c>
      <c r="L759" s="1" t="str">
        <f aca="false">IFERROR(G759/J759,"")</f>
        <v/>
      </c>
    </row>
    <row r="760" customFormat="false" ht="13.8" hidden="false" customHeight="false" outlineLevel="0" collapsed="false">
      <c r="A760" s="1" t="s">
        <v>12</v>
      </c>
      <c r="B760" s="1" t="s">
        <v>304</v>
      </c>
      <c r="C760" s="2" t="n">
        <v>45870</v>
      </c>
      <c r="D760" s="2" t="n">
        <v>45900</v>
      </c>
      <c r="E760" s="1" t="s">
        <v>308</v>
      </c>
      <c r="F760" s="1" t="n">
        <v>568.74</v>
      </c>
      <c r="G760" s="1" t="n">
        <v>568.74</v>
      </c>
      <c r="I760" s="1" t="s">
        <v>307</v>
      </c>
      <c r="L760" s="1" t="str">
        <f aca="false">IFERROR(G760/J760,"")</f>
        <v/>
      </c>
    </row>
    <row r="761" customFormat="false" ht="13.8" hidden="false" customHeight="false" outlineLevel="0" collapsed="false">
      <c r="A761" s="1" t="s">
        <v>17</v>
      </c>
      <c r="B761" s="1" t="s">
        <v>304</v>
      </c>
      <c r="C761" s="2" t="n">
        <v>45880</v>
      </c>
      <c r="D761" s="2" t="n">
        <v>45900</v>
      </c>
      <c r="E761" s="1" t="s">
        <v>70</v>
      </c>
      <c r="F761" s="1" t="n">
        <v>3080</v>
      </c>
      <c r="G761" s="3" t="n">
        <v>3080</v>
      </c>
      <c r="H761" s="3"/>
      <c r="I761" s="1" t="s">
        <v>15</v>
      </c>
      <c r="L761" s="1" t="str">
        <f aca="false">IFERROR(G761/J761,"")</f>
        <v/>
      </c>
    </row>
    <row r="762" customFormat="false" ht="13.8" hidden="false" customHeight="false" outlineLevel="0" collapsed="false">
      <c r="A762" s="1" t="s">
        <v>50</v>
      </c>
      <c r="B762" s="1" t="s">
        <v>304</v>
      </c>
      <c r="C762" s="2" t="n">
        <v>45873</v>
      </c>
      <c r="D762" s="2" t="n">
        <v>45903</v>
      </c>
      <c r="E762" s="1" t="s">
        <v>104</v>
      </c>
      <c r="F762" s="1" t="n">
        <v>1502</v>
      </c>
      <c r="G762" s="3" t="n">
        <v>1502</v>
      </c>
      <c r="H762" s="3"/>
      <c r="I762" s="1" t="s">
        <v>15</v>
      </c>
      <c r="L762" s="1" t="str">
        <f aca="false">IFERROR(G762/J762,"")</f>
        <v/>
      </c>
    </row>
    <row r="763" customFormat="false" ht="13.8" hidden="false" customHeight="false" outlineLevel="0" collapsed="false">
      <c r="A763" s="1" t="s">
        <v>17</v>
      </c>
      <c r="B763" s="1" t="s">
        <v>304</v>
      </c>
      <c r="C763" s="2" t="n">
        <v>45873</v>
      </c>
      <c r="D763" s="2" t="n">
        <v>45903</v>
      </c>
      <c r="E763" s="1" t="s">
        <v>104</v>
      </c>
      <c r="F763" s="1" t="n">
        <v>500.68</v>
      </c>
      <c r="G763" s="1" t="n">
        <v>500.68</v>
      </c>
      <c r="I763" s="1" t="s">
        <v>15</v>
      </c>
      <c r="L763" s="1" t="str">
        <f aca="false">IFERROR(G763/J763,"")</f>
        <v/>
      </c>
    </row>
    <row r="764" customFormat="false" ht="13.8" hidden="false" customHeight="false" outlineLevel="0" collapsed="false">
      <c r="A764" s="1" t="s">
        <v>17</v>
      </c>
      <c r="B764" s="1" t="s">
        <v>304</v>
      </c>
      <c r="C764" s="2" t="n">
        <v>45873</v>
      </c>
      <c r="D764" s="2" t="n">
        <v>45903</v>
      </c>
      <c r="E764" s="1" t="s">
        <v>104</v>
      </c>
      <c r="F764" s="1" t="n">
        <v>1001.32</v>
      </c>
      <c r="G764" s="3" t="n">
        <v>1001.32</v>
      </c>
      <c r="H764" s="3"/>
      <c r="I764" s="1" t="s">
        <v>15</v>
      </c>
      <c r="L764" s="1" t="str">
        <f aca="false">IFERROR(G764/J764,"")</f>
        <v/>
      </c>
    </row>
    <row r="765" customFormat="false" ht="13.8" hidden="false" customHeight="false" outlineLevel="0" collapsed="false">
      <c r="A765" s="1" t="s">
        <v>17</v>
      </c>
      <c r="B765" s="1" t="s">
        <v>304</v>
      </c>
      <c r="C765" s="2" t="n">
        <v>45877</v>
      </c>
      <c r="D765" s="2" t="n">
        <v>45905</v>
      </c>
      <c r="E765" s="1" t="s">
        <v>81</v>
      </c>
      <c r="F765" s="1" t="n">
        <v>3743.3</v>
      </c>
      <c r="G765" s="3" t="n">
        <v>3743.3</v>
      </c>
      <c r="H765" s="3"/>
      <c r="I765" s="1" t="s">
        <v>19</v>
      </c>
      <c r="L765" s="1" t="str">
        <f aca="false">IFERROR(G765/J765,"")</f>
        <v/>
      </c>
    </row>
    <row r="766" customFormat="false" ht="13.8" hidden="false" customHeight="false" outlineLevel="0" collapsed="false">
      <c r="A766" s="1" t="s">
        <v>12</v>
      </c>
      <c r="B766" s="1" t="s">
        <v>309</v>
      </c>
      <c r="C766" s="2" t="n">
        <v>45911</v>
      </c>
      <c r="D766" s="2" t="n">
        <v>45913</v>
      </c>
      <c r="E766" s="1" t="s">
        <v>37</v>
      </c>
      <c r="F766" s="1" t="n">
        <v>1350</v>
      </c>
      <c r="G766" s="3" t="n">
        <v>1350</v>
      </c>
      <c r="H766" s="3"/>
      <c r="I766" s="1" t="s">
        <v>15</v>
      </c>
      <c r="L766" s="1" t="str">
        <f aca="false">IFERROR(G766/J766,"")</f>
        <v/>
      </c>
    </row>
    <row r="767" customFormat="false" ht="13.8" hidden="false" customHeight="false" outlineLevel="0" collapsed="false">
      <c r="A767" s="1" t="s">
        <v>12</v>
      </c>
      <c r="B767" s="1" t="s">
        <v>309</v>
      </c>
      <c r="C767" s="2" t="n">
        <v>45911</v>
      </c>
      <c r="D767" s="2" t="n">
        <v>45913</v>
      </c>
      <c r="E767" s="1" t="s">
        <v>116</v>
      </c>
      <c r="F767" s="1" t="n">
        <v>1410</v>
      </c>
      <c r="G767" s="3" t="n">
        <v>1410</v>
      </c>
      <c r="H767" s="3"/>
      <c r="I767" s="1" t="s">
        <v>15</v>
      </c>
      <c r="L767" s="1" t="str">
        <f aca="false">IFERROR(G767/J767,"")</f>
        <v/>
      </c>
    </row>
    <row r="768" customFormat="false" ht="13.8" hidden="false" customHeight="false" outlineLevel="0" collapsed="false">
      <c r="A768" s="1" t="s">
        <v>12</v>
      </c>
      <c r="B768" s="1" t="s">
        <v>309</v>
      </c>
      <c r="C768" s="2" t="n">
        <v>45913</v>
      </c>
      <c r="D768" s="2" t="n">
        <v>45913</v>
      </c>
      <c r="E768" s="1" t="s">
        <v>110</v>
      </c>
      <c r="F768" s="1" t="n">
        <v>1598</v>
      </c>
      <c r="G768" s="3" t="n">
        <v>1598</v>
      </c>
      <c r="H768" s="3"/>
      <c r="I768" s="1" t="s">
        <v>19</v>
      </c>
      <c r="L768" s="1" t="str">
        <f aca="false">IFERROR(G768/J768,"")</f>
        <v/>
      </c>
    </row>
    <row r="769" customFormat="false" ht="13.8" hidden="false" customHeight="false" outlineLevel="0" collapsed="false">
      <c r="A769" s="1" t="s">
        <v>17</v>
      </c>
      <c r="B769" s="1" t="s">
        <v>304</v>
      </c>
      <c r="C769" s="2" t="n">
        <v>45888</v>
      </c>
      <c r="D769" s="2" t="n">
        <v>45918</v>
      </c>
      <c r="E769" s="1" t="s">
        <v>305</v>
      </c>
      <c r="F769" s="1" t="n">
        <v>3960</v>
      </c>
      <c r="G769" s="3" t="n">
        <v>3960</v>
      </c>
      <c r="H769" s="3"/>
      <c r="I769" s="1" t="s">
        <v>15</v>
      </c>
      <c r="L769" s="1" t="str">
        <f aca="false">IFERROR(G769/J769,"")</f>
        <v/>
      </c>
    </row>
    <row r="770" customFormat="false" ht="13.8" hidden="false" customHeight="false" outlineLevel="0" collapsed="false">
      <c r="A770" s="1" t="s">
        <v>50</v>
      </c>
      <c r="B770" s="1" t="s">
        <v>309</v>
      </c>
      <c r="C770" s="2" t="n">
        <v>45919</v>
      </c>
      <c r="D770" s="2" t="n">
        <v>45919</v>
      </c>
      <c r="E770" s="1" t="s">
        <v>116</v>
      </c>
      <c r="F770" s="1" t="n">
        <v>2500</v>
      </c>
      <c r="G770" s="3" t="n">
        <v>2500</v>
      </c>
      <c r="H770" s="3"/>
      <c r="I770" s="1" t="s">
        <v>15</v>
      </c>
      <c r="L770" s="1" t="str">
        <f aca="false">IFERROR(G770/J770,"")</f>
        <v/>
      </c>
    </row>
    <row r="771" customFormat="false" ht="13.8" hidden="false" customHeight="false" outlineLevel="0" collapsed="false">
      <c r="A771" s="1" t="s">
        <v>12</v>
      </c>
      <c r="B771" s="1" t="s">
        <v>309</v>
      </c>
      <c r="C771" s="2" t="n">
        <v>45913</v>
      </c>
      <c r="D771" s="2" t="n">
        <v>45920</v>
      </c>
      <c r="E771" s="1" t="s">
        <v>116</v>
      </c>
      <c r="F771" s="1" t="n">
        <v>6800</v>
      </c>
      <c r="G771" s="3" t="n">
        <v>6800</v>
      </c>
      <c r="H771" s="3"/>
      <c r="I771" s="1" t="s">
        <v>15</v>
      </c>
      <c r="L771" s="1" t="str">
        <f aca="false">IFERROR(G771/J771,"")</f>
        <v/>
      </c>
    </row>
    <row r="772" customFormat="false" ht="13.8" hidden="false" customHeight="false" outlineLevel="0" collapsed="false">
      <c r="A772" s="1" t="s">
        <v>12</v>
      </c>
      <c r="B772" s="1" t="s">
        <v>309</v>
      </c>
      <c r="C772" s="2" t="n">
        <v>45917</v>
      </c>
      <c r="D772" s="2" t="n">
        <v>45920</v>
      </c>
      <c r="E772" s="1" t="s">
        <v>116</v>
      </c>
      <c r="F772" s="1" t="n">
        <v>1598</v>
      </c>
      <c r="G772" s="3" t="n">
        <v>1598</v>
      </c>
      <c r="H772" s="3"/>
      <c r="I772" s="1" t="s">
        <v>15</v>
      </c>
      <c r="L772" s="1" t="str">
        <f aca="false">IFERROR(G772/J772,"")</f>
        <v/>
      </c>
    </row>
    <row r="773" customFormat="false" ht="13.8" hidden="false" customHeight="false" outlineLevel="0" collapsed="false">
      <c r="A773" s="1" t="s">
        <v>50</v>
      </c>
      <c r="B773" s="1" t="s">
        <v>304</v>
      </c>
      <c r="C773" s="2" t="n">
        <v>45894</v>
      </c>
      <c r="D773" s="2" t="n">
        <v>45924</v>
      </c>
      <c r="E773" s="1" t="s">
        <v>260</v>
      </c>
      <c r="F773" s="1" t="n">
        <v>1000</v>
      </c>
      <c r="G773" s="3" t="n">
        <v>1000</v>
      </c>
      <c r="H773" s="3"/>
      <c r="I773" s="1" t="s">
        <v>19</v>
      </c>
      <c r="L773" s="1" t="str">
        <f aca="false">IFERROR(G773/J773,"")</f>
        <v/>
      </c>
    </row>
    <row r="774" customFormat="false" ht="13.8" hidden="false" customHeight="false" outlineLevel="0" collapsed="false">
      <c r="A774" s="1" t="s">
        <v>50</v>
      </c>
      <c r="B774" s="1" t="s">
        <v>304</v>
      </c>
      <c r="C774" s="2" t="n">
        <v>45894</v>
      </c>
      <c r="D774" s="2" t="n">
        <v>45924</v>
      </c>
      <c r="E774" s="1" t="s">
        <v>260</v>
      </c>
      <c r="F774" s="1" t="n">
        <v>1000</v>
      </c>
      <c r="G774" s="3" t="n">
        <v>1000</v>
      </c>
      <c r="H774" s="3"/>
      <c r="I774" s="1" t="s">
        <v>19</v>
      </c>
      <c r="L774" s="1" t="str">
        <f aca="false">IFERROR(G774/J774,"")</f>
        <v/>
      </c>
    </row>
    <row r="775" customFormat="false" ht="13.8" hidden="false" customHeight="false" outlineLevel="0" collapsed="false">
      <c r="A775" s="1" t="s">
        <v>12</v>
      </c>
      <c r="B775" s="1" t="s">
        <v>309</v>
      </c>
      <c r="C775" s="2" t="n">
        <v>45910</v>
      </c>
      <c r="D775" s="2" t="n">
        <v>45926</v>
      </c>
      <c r="E775" s="1" t="s">
        <v>310</v>
      </c>
      <c r="F775" s="1" t="n">
        <v>1440</v>
      </c>
      <c r="G775" s="3" t="n">
        <v>1440</v>
      </c>
      <c r="H775" s="3"/>
      <c r="I775" s="1" t="s">
        <v>15</v>
      </c>
      <c r="L775" s="1" t="str">
        <f aca="false">IFERROR(G775/J775,"")</f>
        <v/>
      </c>
    </row>
    <row r="776" customFormat="false" ht="13.8" hidden="false" customHeight="false" outlineLevel="0" collapsed="false">
      <c r="A776" s="1" t="s">
        <v>38</v>
      </c>
      <c r="B776" s="1" t="s">
        <v>309</v>
      </c>
      <c r="C776" s="2" t="n">
        <v>45910</v>
      </c>
      <c r="D776" s="2" t="n">
        <v>45926</v>
      </c>
      <c r="E776" s="1" t="s">
        <v>310</v>
      </c>
      <c r="F776" s="1" t="n">
        <v>1440</v>
      </c>
      <c r="G776" s="3" t="n">
        <v>1440</v>
      </c>
      <c r="H776" s="3"/>
      <c r="I776" s="1" t="s">
        <v>15</v>
      </c>
      <c r="L776" s="1" t="str">
        <f aca="false">IFERROR(G776/J776,"")</f>
        <v/>
      </c>
    </row>
    <row r="777" customFormat="false" ht="13.8" hidden="false" customHeight="false" outlineLevel="0" collapsed="false">
      <c r="A777" s="1" t="s">
        <v>12</v>
      </c>
      <c r="B777" s="1" t="s">
        <v>309</v>
      </c>
      <c r="C777" s="2" t="n">
        <v>45922</v>
      </c>
      <c r="D777" s="2" t="n">
        <v>45926</v>
      </c>
      <c r="E777" s="1" t="s">
        <v>311</v>
      </c>
      <c r="F777" s="1" t="n">
        <v>1423.56</v>
      </c>
      <c r="G777" s="3" t="n">
        <v>1423.56</v>
      </c>
      <c r="H777" s="3"/>
      <c r="I777" s="1" t="s">
        <v>307</v>
      </c>
      <c r="L777" s="1" t="str">
        <f aca="false">IFERROR(G777/J777,"")</f>
        <v/>
      </c>
    </row>
    <row r="778" customFormat="false" ht="13.8" hidden="false" customHeight="false" outlineLevel="0" collapsed="false">
      <c r="A778" s="1" t="s">
        <v>12</v>
      </c>
      <c r="B778" s="1" t="s">
        <v>309</v>
      </c>
      <c r="C778" s="2" t="n">
        <v>45925</v>
      </c>
      <c r="D778" s="2" t="n">
        <v>45927</v>
      </c>
      <c r="E778" s="1" t="s">
        <v>37</v>
      </c>
      <c r="F778" s="1" t="n">
        <v>1350</v>
      </c>
      <c r="G778" s="3" t="n">
        <v>1350</v>
      </c>
      <c r="H778" s="3"/>
      <c r="I778" s="1" t="s">
        <v>15</v>
      </c>
      <c r="L778" s="1" t="str">
        <f aca="false">IFERROR(G778/J778,"")</f>
        <v/>
      </c>
    </row>
    <row r="779" customFormat="false" ht="13.8" hidden="false" customHeight="false" outlineLevel="0" collapsed="false">
      <c r="A779" s="1" t="s">
        <v>17</v>
      </c>
      <c r="B779" s="1" t="s">
        <v>304</v>
      </c>
      <c r="C779" s="2" t="n">
        <v>45898</v>
      </c>
      <c r="D779" s="2" t="n">
        <v>45928</v>
      </c>
      <c r="E779" s="1" t="s">
        <v>262</v>
      </c>
      <c r="F779" s="1" t="n">
        <v>750</v>
      </c>
      <c r="G779" s="1" t="n">
        <v>750</v>
      </c>
      <c r="I779" s="1" t="s">
        <v>263</v>
      </c>
      <c r="L779" s="1" t="str">
        <f aca="false">IFERROR(G779/J779,"")</f>
        <v/>
      </c>
    </row>
    <row r="780" customFormat="false" ht="13.8" hidden="false" customHeight="false" outlineLevel="0" collapsed="false">
      <c r="A780" s="1" t="s">
        <v>17</v>
      </c>
      <c r="B780" s="1" t="s">
        <v>304</v>
      </c>
      <c r="C780" s="2" t="n">
        <v>45898</v>
      </c>
      <c r="D780" s="2" t="n">
        <v>45928</v>
      </c>
      <c r="E780" s="1" t="s">
        <v>262</v>
      </c>
      <c r="F780" s="1" t="n">
        <v>499</v>
      </c>
      <c r="G780" s="1" t="n">
        <v>499</v>
      </c>
      <c r="I780" s="1" t="s">
        <v>263</v>
      </c>
      <c r="L780" s="1" t="str">
        <f aca="false">IFERROR(G780/J780,"")</f>
        <v/>
      </c>
    </row>
    <row r="781" customFormat="false" ht="13.8" hidden="false" customHeight="false" outlineLevel="0" collapsed="false">
      <c r="A781" s="1" t="s">
        <v>12</v>
      </c>
      <c r="B781" s="1" t="s">
        <v>304</v>
      </c>
      <c r="C781" s="2" t="n">
        <v>45898</v>
      </c>
      <c r="D781" s="2" t="n">
        <v>45928</v>
      </c>
      <c r="E781" s="1" t="s">
        <v>262</v>
      </c>
      <c r="F781" s="1" t="n">
        <v>750</v>
      </c>
      <c r="G781" s="1" t="n">
        <v>750</v>
      </c>
      <c r="I781" s="1" t="s">
        <v>263</v>
      </c>
      <c r="L781" s="1" t="str">
        <f aca="false">IFERROR(G781/J781,"")</f>
        <v/>
      </c>
    </row>
    <row r="782" customFormat="false" ht="13.8" hidden="false" customHeight="false" outlineLevel="0" collapsed="false">
      <c r="A782" s="1" t="s">
        <v>17</v>
      </c>
      <c r="B782" s="1" t="s">
        <v>309</v>
      </c>
      <c r="C782" s="2" t="n">
        <v>45905</v>
      </c>
      <c r="D782" s="2" t="n">
        <v>45929</v>
      </c>
      <c r="E782" s="1" t="s">
        <v>160</v>
      </c>
      <c r="F782" s="1" t="n">
        <v>4800</v>
      </c>
      <c r="G782" s="3" t="n">
        <v>4800</v>
      </c>
      <c r="H782" s="3"/>
      <c r="I782" s="1" t="s">
        <v>15</v>
      </c>
      <c r="L782" s="1" t="str">
        <f aca="false">IFERROR(G782/J782,"")</f>
        <v/>
      </c>
    </row>
    <row r="783" customFormat="false" ht="13.8" hidden="false" customHeight="false" outlineLevel="0" collapsed="false">
      <c r="A783" s="1" t="s">
        <v>38</v>
      </c>
      <c r="B783" s="1" t="s">
        <v>309</v>
      </c>
      <c r="C783" s="2" t="n">
        <v>45923</v>
      </c>
      <c r="D783" s="2" t="n">
        <v>45929</v>
      </c>
      <c r="E783" s="1" t="s">
        <v>33</v>
      </c>
      <c r="F783" s="1" t="n">
        <v>2462.25</v>
      </c>
      <c r="G783" s="3" t="n">
        <v>2462.25</v>
      </c>
      <c r="H783" s="3"/>
      <c r="I783" s="1" t="s">
        <v>15</v>
      </c>
      <c r="L783" s="1" t="str">
        <f aca="false">IFERROR(G783/J783,"")</f>
        <v/>
      </c>
    </row>
    <row r="784" customFormat="false" ht="13.8" hidden="false" customHeight="false" outlineLevel="0" collapsed="false">
      <c r="A784" s="1" t="s">
        <v>17</v>
      </c>
      <c r="B784" s="1" t="s">
        <v>297</v>
      </c>
      <c r="C784" s="2" t="n">
        <v>45839</v>
      </c>
      <c r="D784" s="2" t="n">
        <v>45930</v>
      </c>
      <c r="E784" s="1" t="s">
        <v>123</v>
      </c>
      <c r="F784" s="1" t="n">
        <v>5400</v>
      </c>
      <c r="G784" s="3" t="n">
        <v>5400</v>
      </c>
      <c r="H784" s="3"/>
      <c r="I784" s="1" t="s">
        <v>15</v>
      </c>
      <c r="L784" s="1" t="str">
        <f aca="false">IFERROR(G784/J784,"")</f>
        <v/>
      </c>
    </row>
    <row r="785" customFormat="false" ht="13.8" hidden="false" customHeight="false" outlineLevel="0" collapsed="false">
      <c r="A785" s="1" t="s">
        <v>12</v>
      </c>
      <c r="B785" s="1" t="s">
        <v>309</v>
      </c>
      <c r="C785" s="2" t="n">
        <v>45552</v>
      </c>
      <c r="D785" s="2" t="n">
        <v>45930</v>
      </c>
      <c r="E785" s="1" t="s">
        <v>21</v>
      </c>
      <c r="F785" s="1" t="n">
        <v>2424.54</v>
      </c>
      <c r="G785" s="3" t="n">
        <v>2424.54</v>
      </c>
      <c r="H785" s="3"/>
      <c r="I785" s="1" t="s">
        <v>15</v>
      </c>
      <c r="L785" s="1" t="str">
        <f aca="false">IFERROR(G785/J785,"")</f>
        <v/>
      </c>
    </row>
    <row r="786" customFormat="false" ht="13.8" hidden="false" customHeight="false" outlineLevel="0" collapsed="false">
      <c r="A786" s="1" t="s">
        <v>50</v>
      </c>
      <c r="B786" s="1" t="s">
        <v>309</v>
      </c>
      <c r="C786" s="2" t="n">
        <v>45901</v>
      </c>
      <c r="D786" s="2" t="n">
        <v>45930</v>
      </c>
      <c r="E786" s="1" t="s">
        <v>110</v>
      </c>
      <c r="F786" s="1" t="n">
        <v>11842.8</v>
      </c>
      <c r="G786" s="3" t="n">
        <v>11842.8</v>
      </c>
      <c r="H786" s="3"/>
      <c r="I786" s="1" t="s">
        <v>19</v>
      </c>
      <c r="L786" s="1" t="str">
        <f aca="false">IFERROR(G786/J786,"")</f>
        <v/>
      </c>
    </row>
    <row r="787" customFormat="false" ht="13.8" hidden="false" customHeight="false" outlineLevel="0" collapsed="false">
      <c r="A787" s="1" t="s">
        <v>50</v>
      </c>
      <c r="B787" s="1" t="s">
        <v>309</v>
      </c>
      <c r="C787" s="2" t="n">
        <v>45901</v>
      </c>
      <c r="D787" s="2" t="n">
        <v>45930</v>
      </c>
      <c r="E787" s="1" t="s">
        <v>302</v>
      </c>
      <c r="F787" s="1" t="n">
        <v>1100</v>
      </c>
      <c r="G787" s="3" t="n">
        <v>1100</v>
      </c>
      <c r="H787" s="3"/>
      <c r="I787" s="1" t="s">
        <v>263</v>
      </c>
      <c r="L787" s="1" t="str">
        <f aca="false">IFERROR(G787/J787,"")</f>
        <v/>
      </c>
    </row>
    <row r="788" customFormat="false" ht="13.8" hidden="false" customHeight="false" outlineLevel="0" collapsed="false">
      <c r="A788" s="1" t="s">
        <v>50</v>
      </c>
      <c r="B788" s="1" t="s">
        <v>309</v>
      </c>
      <c r="C788" s="2" t="n">
        <v>45901</v>
      </c>
      <c r="D788" s="2" t="n">
        <v>45930</v>
      </c>
      <c r="E788" s="1" t="s">
        <v>302</v>
      </c>
      <c r="F788" s="1" t="n">
        <v>900</v>
      </c>
      <c r="G788" s="1" t="n">
        <v>900</v>
      </c>
      <c r="I788" s="1" t="s">
        <v>263</v>
      </c>
      <c r="L788" s="1" t="str">
        <f aca="false">IFERROR(G788/J788,"")</f>
        <v/>
      </c>
    </row>
    <row r="789" customFormat="false" ht="13.8" hidden="false" customHeight="false" outlineLevel="0" collapsed="false">
      <c r="A789" s="1" t="s">
        <v>50</v>
      </c>
      <c r="B789" s="1" t="s">
        <v>309</v>
      </c>
      <c r="C789" s="2" t="n">
        <v>45901</v>
      </c>
      <c r="D789" s="2" t="n">
        <v>45930</v>
      </c>
      <c r="E789" s="1" t="s">
        <v>303</v>
      </c>
      <c r="F789" s="1" t="n">
        <v>742.63</v>
      </c>
      <c r="G789" s="1" t="n">
        <v>742.63</v>
      </c>
      <c r="I789" s="1" t="s">
        <v>252</v>
      </c>
      <c r="L789" s="1" t="str">
        <f aca="false">IFERROR(G789/J789,"")</f>
        <v/>
      </c>
    </row>
    <row r="790" customFormat="false" ht="13.8" hidden="false" customHeight="false" outlineLevel="0" collapsed="false">
      <c r="A790" s="1" t="s">
        <v>17</v>
      </c>
      <c r="B790" s="1" t="s">
        <v>309</v>
      </c>
      <c r="C790" s="2" t="n">
        <v>45901</v>
      </c>
      <c r="D790" s="2" t="n">
        <v>45930</v>
      </c>
      <c r="E790" s="1" t="s">
        <v>70</v>
      </c>
      <c r="F790" s="1" t="n">
        <v>3080</v>
      </c>
      <c r="G790" s="3" t="n">
        <v>3080</v>
      </c>
      <c r="H790" s="3"/>
      <c r="I790" s="1" t="s">
        <v>15</v>
      </c>
      <c r="L790" s="1" t="str">
        <f aca="false">IFERROR(G790/J790,"")</f>
        <v/>
      </c>
    </row>
    <row r="791" customFormat="false" ht="13.8" hidden="false" customHeight="false" outlineLevel="0" collapsed="false">
      <c r="A791" s="1" t="s">
        <v>17</v>
      </c>
      <c r="B791" s="1" t="s">
        <v>309</v>
      </c>
      <c r="C791" s="2" t="n">
        <v>45901</v>
      </c>
      <c r="D791" s="2" t="n">
        <v>45930</v>
      </c>
      <c r="E791" s="1" t="s">
        <v>312</v>
      </c>
      <c r="F791" s="1" t="n">
        <v>5610.53</v>
      </c>
      <c r="G791" s="3" t="n">
        <v>5610.53</v>
      </c>
      <c r="H791" s="3"/>
      <c r="I791" s="1" t="s">
        <v>19</v>
      </c>
      <c r="L791" s="1" t="str">
        <f aca="false">IFERROR(G791/J791,"")</f>
        <v/>
      </c>
    </row>
    <row r="792" customFormat="false" ht="13.8" hidden="false" customHeight="false" outlineLevel="0" collapsed="false">
      <c r="A792" s="1" t="s">
        <v>17</v>
      </c>
      <c r="B792" s="1" t="s">
        <v>309</v>
      </c>
      <c r="C792" s="2" t="n">
        <v>45901</v>
      </c>
      <c r="D792" s="2" t="n">
        <v>45930</v>
      </c>
      <c r="E792" s="1" t="s">
        <v>302</v>
      </c>
      <c r="F792" s="1" t="n">
        <v>1000</v>
      </c>
      <c r="G792" s="3" t="n">
        <v>1000</v>
      </c>
      <c r="H792" s="3"/>
      <c r="I792" s="1" t="s">
        <v>263</v>
      </c>
      <c r="L792" s="1" t="str">
        <f aca="false">IFERROR(G792/J792,"")</f>
        <v/>
      </c>
    </row>
    <row r="793" customFormat="false" ht="13.8" hidden="false" customHeight="false" outlineLevel="0" collapsed="false">
      <c r="A793" s="1" t="s">
        <v>17</v>
      </c>
      <c r="B793" s="1" t="s">
        <v>309</v>
      </c>
      <c r="C793" s="2" t="n">
        <v>45901</v>
      </c>
      <c r="D793" s="2" t="n">
        <v>45930</v>
      </c>
      <c r="E793" s="1" t="s">
        <v>302</v>
      </c>
      <c r="F793" s="1" t="n">
        <v>999</v>
      </c>
      <c r="G793" s="1" t="n">
        <v>999</v>
      </c>
      <c r="I793" s="1" t="s">
        <v>263</v>
      </c>
      <c r="L793" s="1" t="str">
        <f aca="false">IFERROR(G793/J793,"")</f>
        <v/>
      </c>
    </row>
    <row r="794" customFormat="false" ht="13.8" hidden="false" customHeight="false" outlineLevel="0" collapsed="false">
      <c r="A794" s="1" t="s">
        <v>17</v>
      </c>
      <c r="B794" s="1" t="s">
        <v>309</v>
      </c>
      <c r="C794" s="2" t="n">
        <v>45901</v>
      </c>
      <c r="D794" s="2" t="n">
        <v>45930</v>
      </c>
      <c r="E794" s="1" t="s">
        <v>303</v>
      </c>
      <c r="F794" s="1" t="n">
        <v>979.11</v>
      </c>
      <c r="G794" s="1" t="n">
        <v>979.11</v>
      </c>
      <c r="I794" s="1" t="s">
        <v>252</v>
      </c>
      <c r="L794" s="1" t="str">
        <f aca="false">IFERROR(G794/J794,"")</f>
        <v/>
      </c>
    </row>
    <row r="795" customFormat="false" ht="13.8" hidden="false" customHeight="false" outlineLevel="0" collapsed="false">
      <c r="A795" s="1" t="s">
        <v>17</v>
      </c>
      <c r="B795" s="1" t="s">
        <v>309</v>
      </c>
      <c r="C795" s="2" t="n">
        <v>45901</v>
      </c>
      <c r="D795" s="2" t="n">
        <v>45930</v>
      </c>
      <c r="E795" s="1" t="s">
        <v>303</v>
      </c>
      <c r="F795" s="1" t="n">
        <v>277.26</v>
      </c>
      <c r="G795" s="1" t="n">
        <v>277.26</v>
      </c>
      <c r="I795" s="1" t="s">
        <v>252</v>
      </c>
      <c r="L795" s="1" t="str">
        <f aca="false">IFERROR(G795/J795,"")</f>
        <v/>
      </c>
    </row>
    <row r="796" customFormat="false" ht="13.8" hidden="false" customHeight="false" outlineLevel="0" collapsed="false">
      <c r="A796" s="1" t="s">
        <v>17</v>
      </c>
      <c r="B796" s="1" t="s">
        <v>309</v>
      </c>
      <c r="C796" s="2" t="n">
        <v>45901</v>
      </c>
      <c r="D796" s="2" t="n">
        <v>45930</v>
      </c>
      <c r="E796" s="1" t="s">
        <v>308</v>
      </c>
      <c r="F796" s="1" t="n">
        <v>675.8</v>
      </c>
      <c r="G796" s="1" t="n">
        <v>675.8</v>
      </c>
      <c r="I796" s="1" t="s">
        <v>307</v>
      </c>
      <c r="L796" s="1" t="str">
        <f aca="false">IFERROR(G796/J796,"")</f>
        <v/>
      </c>
    </row>
    <row r="797" customFormat="false" ht="13.8" hidden="false" customHeight="false" outlineLevel="0" collapsed="false">
      <c r="A797" s="1" t="s">
        <v>17</v>
      </c>
      <c r="B797" s="1" t="s">
        <v>309</v>
      </c>
      <c r="C797" s="2" t="n">
        <v>45901</v>
      </c>
      <c r="D797" s="2" t="n">
        <v>45930</v>
      </c>
      <c r="E797" s="1" t="s">
        <v>313</v>
      </c>
      <c r="F797" s="1" t="n">
        <v>2880</v>
      </c>
      <c r="G797" s="3" t="n">
        <v>2880</v>
      </c>
      <c r="H797" s="3"/>
      <c r="I797" s="1" t="s">
        <v>307</v>
      </c>
      <c r="L797" s="1" t="str">
        <f aca="false">IFERROR(G797/J797,"")</f>
        <v/>
      </c>
    </row>
    <row r="798" customFormat="false" ht="13.8" hidden="false" customHeight="false" outlineLevel="0" collapsed="false">
      <c r="A798" s="1" t="s">
        <v>12</v>
      </c>
      <c r="B798" s="1" t="s">
        <v>309</v>
      </c>
      <c r="C798" s="2" t="n">
        <v>45901</v>
      </c>
      <c r="D798" s="2" t="n">
        <v>45930</v>
      </c>
      <c r="E798" s="1" t="s">
        <v>110</v>
      </c>
      <c r="F798" s="1" t="n">
        <v>6773.4</v>
      </c>
      <c r="G798" s="3" t="n">
        <v>6773.4</v>
      </c>
      <c r="H798" s="3"/>
      <c r="I798" s="1" t="s">
        <v>19</v>
      </c>
      <c r="L798" s="1" t="str">
        <f aca="false">IFERROR(G798/J798,"")</f>
        <v/>
      </c>
    </row>
    <row r="799" customFormat="false" ht="13.8" hidden="false" customHeight="false" outlineLevel="0" collapsed="false">
      <c r="A799" s="1" t="s">
        <v>12</v>
      </c>
      <c r="B799" s="1" t="s">
        <v>309</v>
      </c>
      <c r="C799" s="2" t="n">
        <v>45901</v>
      </c>
      <c r="D799" s="2" t="n">
        <v>45930</v>
      </c>
      <c r="E799" s="1" t="s">
        <v>292</v>
      </c>
      <c r="F799" s="1" t="n">
        <v>4999</v>
      </c>
      <c r="G799" s="3" t="n">
        <v>4999</v>
      </c>
      <c r="H799" s="3"/>
      <c r="I799" s="1" t="s">
        <v>252</v>
      </c>
      <c r="L799" s="1" t="str">
        <f aca="false">IFERROR(G799/J799,"")</f>
        <v/>
      </c>
    </row>
    <row r="800" customFormat="false" ht="13.8" hidden="false" customHeight="false" outlineLevel="0" collapsed="false">
      <c r="A800" s="1" t="s">
        <v>12</v>
      </c>
      <c r="B800" s="1" t="s">
        <v>309</v>
      </c>
      <c r="C800" s="2" t="n">
        <v>45901</v>
      </c>
      <c r="D800" s="2" t="n">
        <v>45930</v>
      </c>
      <c r="E800" s="1" t="s">
        <v>308</v>
      </c>
      <c r="F800" s="1" t="n">
        <v>567.6</v>
      </c>
      <c r="G800" s="1" t="n">
        <v>567.6</v>
      </c>
      <c r="I800" s="1" t="s">
        <v>307</v>
      </c>
      <c r="L800" s="1" t="str">
        <f aca="false">IFERROR(G800/J800,"")</f>
        <v/>
      </c>
    </row>
    <row r="801" customFormat="false" ht="13.8" hidden="false" customHeight="false" outlineLevel="0" collapsed="false">
      <c r="A801" s="1" t="s">
        <v>12</v>
      </c>
      <c r="B801" s="1" t="s">
        <v>309</v>
      </c>
      <c r="C801" s="2" t="n">
        <v>45904</v>
      </c>
      <c r="D801" s="2" t="n">
        <v>45930</v>
      </c>
      <c r="E801" s="1" t="s">
        <v>72</v>
      </c>
      <c r="F801" s="1" t="n">
        <v>4920</v>
      </c>
      <c r="G801" s="3" t="n">
        <v>4920</v>
      </c>
      <c r="H801" s="3"/>
      <c r="I801" s="1" t="s">
        <v>15</v>
      </c>
      <c r="L801" s="1" t="str">
        <f aca="false">IFERROR(G801/J801,"")</f>
        <v/>
      </c>
    </row>
    <row r="802" customFormat="false" ht="13.8" hidden="false" customHeight="false" outlineLevel="0" collapsed="false">
      <c r="A802" s="1" t="s">
        <v>17</v>
      </c>
      <c r="B802" s="1" t="s">
        <v>309</v>
      </c>
      <c r="C802" s="2" t="n">
        <v>45905</v>
      </c>
      <c r="D802" s="2" t="n">
        <v>45930</v>
      </c>
      <c r="E802" s="1" t="s">
        <v>46</v>
      </c>
      <c r="F802" s="1" t="n">
        <v>2880</v>
      </c>
      <c r="G802" s="3" t="n">
        <v>2880</v>
      </c>
      <c r="H802" s="3"/>
      <c r="I802" s="1" t="s">
        <v>15</v>
      </c>
      <c r="L802" s="1" t="str">
        <f aca="false">IFERROR(G802/J802,"")</f>
        <v/>
      </c>
    </row>
    <row r="803" customFormat="false" ht="13.8" hidden="false" customHeight="false" outlineLevel="0" collapsed="false">
      <c r="A803" s="1" t="s">
        <v>12</v>
      </c>
      <c r="B803" s="1" t="s">
        <v>309</v>
      </c>
      <c r="C803" s="2" t="n">
        <v>45911</v>
      </c>
      <c r="D803" s="2" t="n">
        <v>45930</v>
      </c>
      <c r="E803" s="1" t="s">
        <v>22</v>
      </c>
      <c r="F803" s="1" t="n">
        <v>6664</v>
      </c>
      <c r="G803" s="3" t="n">
        <v>6664</v>
      </c>
      <c r="H803" s="3"/>
      <c r="I803" s="1" t="s">
        <v>15</v>
      </c>
      <c r="L803" s="1" t="str">
        <f aca="false">IFERROR(G803/J803,"")</f>
        <v/>
      </c>
    </row>
    <row r="804" customFormat="false" ht="13.8" hidden="false" customHeight="false" outlineLevel="0" collapsed="false">
      <c r="A804" s="1" t="s">
        <v>38</v>
      </c>
      <c r="B804" s="1" t="s">
        <v>309</v>
      </c>
      <c r="C804" s="2" t="n">
        <v>45911</v>
      </c>
      <c r="D804" s="2" t="n">
        <v>45930</v>
      </c>
      <c r="E804" s="1" t="s">
        <v>22</v>
      </c>
      <c r="F804" s="1" t="n">
        <v>6664</v>
      </c>
      <c r="G804" s="3" t="n">
        <v>6664</v>
      </c>
      <c r="H804" s="3"/>
      <c r="I804" s="1" t="s">
        <v>15</v>
      </c>
      <c r="L804" s="1" t="str">
        <f aca="false">IFERROR(G804/J804,"")</f>
        <v/>
      </c>
    </row>
    <row r="805" customFormat="false" ht="13.8" hidden="false" customHeight="false" outlineLevel="0" collapsed="false">
      <c r="A805" s="1" t="s">
        <v>12</v>
      </c>
      <c r="B805" s="1" t="s">
        <v>309</v>
      </c>
      <c r="C805" s="2" t="n">
        <v>45912</v>
      </c>
      <c r="D805" s="2" t="n">
        <v>45930</v>
      </c>
      <c r="E805" s="1" t="s">
        <v>22</v>
      </c>
      <c r="F805" s="1" t="n">
        <v>5168</v>
      </c>
      <c r="G805" s="3" t="n">
        <v>5168</v>
      </c>
      <c r="H805" s="3"/>
      <c r="I805" s="1" t="s">
        <v>15</v>
      </c>
      <c r="L805" s="1" t="str">
        <f aca="false">IFERROR(G805/J805,"")</f>
        <v/>
      </c>
    </row>
    <row r="806" customFormat="false" ht="13.8" hidden="false" customHeight="false" outlineLevel="0" collapsed="false">
      <c r="A806" s="1" t="s">
        <v>38</v>
      </c>
      <c r="B806" s="1" t="s">
        <v>309</v>
      </c>
      <c r="C806" s="2" t="n">
        <v>45912</v>
      </c>
      <c r="D806" s="2" t="n">
        <v>45930</v>
      </c>
      <c r="E806" s="1" t="s">
        <v>22</v>
      </c>
      <c r="F806" s="1" t="n">
        <v>5168</v>
      </c>
      <c r="G806" s="3" t="n">
        <v>5168</v>
      </c>
      <c r="H806" s="3"/>
      <c r="I806" s="1" t="s">
        <v>15</v>
      </c>
      <c r="L806" s="1" t="str">
        <f aca="false">IFERROR(G806/J806,"")</f>
        <v/>
      </c>
    </row>
    <row r="807" customFormat="false" ht="13.8" hidden="false" customHeight="false" outlineLevel="0" collapsed="false">
      <c r="A807" s="5" t="s">
        <v>141</v>
      </c>
      <c r="B807" s="6" t="n">
        <v>45748</v>
      </c>
      <c r="C807" s="7" t="n">
        <v>45743</v>
      </c>
      <c r="D807" s="7" t="n">
        <v>45930</v>
      </c>
      <c r="E807" s="5" t="s">
        <v>314</v>
      </c>
      <c r="F807" s="8" t="n">
        <v>1200</v>
      </c>
      <c r="G807" s="8" t="n">
        <v>1200</v>
      </c>
      <c r="H807" s="9"/>
      <c r="I807" s="9"/>
      <c r="K807" s="9"/>
      <c r="L807" s="1" t="str">
        <f aca="false">IFERROR(G807/J807,"")</f>
        <v/>
      </c>
    </row>
    <row r="808" customFormat="false" ht="13.8" hidden="false" customHeight="false" outlineLevel="0" collapsed="false">
      <c r="A808" s="5" t="s">
        <v>17</v>
      </c>
      <c r="B808" s="6" t="n">
        <v>45778</v>
      </c>
      <c r="C808" s="11" t="n">
        <v>45742</v>
      </c>
      <c r="D808" s="11" t="n">
        <v>45930</v>
      </c>
      <c r="E808" s="5" t="s">
        <v>314</v>
      </c>
      <c r="F808" s="8" t="n">
        <v>1200</v>
      </c>
      <c r="G808" s="8" t="n">
        <v>1200</v>
      </c>
      <c r="H808" s="9"/>
      <c r="J808" s="12" t="n">
        <v>22</v>
      </c>
      <c r="L808" s="1" t="n">
        <f aca="false">IFERROR(G808/J808,"")</f>
        <v>54.5454545454546</v>
      </c>
    </row>
    <row r="809" customFormat="false" ht="13.8" hidden="false" customHeight="false" outlineLevel="0" collapsed="false">
      <c r="A809" s="1" t="s">
        <v>50</v>
      </c>
      <c r="B809" s="1" t="s">
        <v>309</v>
      </c>
      <c r="C809" s="2" t="n">
        <v>45904</v>
      </c>
      <c r="D809" s="2" t="n">
        <v>45933</v>
      </c>
      <c r="E809" s="1" t="s">
        <v>104</v>
      </c>
      <c r="F809" s="1" t="n">
        <v>1503</v>
      </c>
      <c r="G809" s="3" t="n">
        <v>1503</v>
      </c>
      <c r="H809" s="3"/>
      <c r="I809" s="1" t="s">
        <v>15</v>
      </c>
      <c r="L809" s="1" t="str">
        <f aca="false">IFERROR(G809/J809,"")</f>
        <v/>
      </c>
    </row>
    <row r="810" customFormat="false" ht="13.8" hidden="false" customHeight="false" outlineLevel="0" collapsed="false">
      <c r="A810" s="1" t="s">
        <v>17</v>
      </c>
      <c r="B810" s="1" t="s">
        <v>309</v>
      </c>
      <c r="C810" s="2" t="n">
        <v>45904</v>
      </c>
      <c r="D810" s="2" t="n">
        <v>45933</v>
      </c>
      <c r="E810" s="1" t="s">
        <v>104</v>
      </c>
      <c r="F810" s="1" t="n">
        <v>1001.98</v>
      </c>
      <c r="G810" s="3" t="n">
        <v>1001.98</v>
      </c>
      <c r="H810" s="3"/>
      <c r="I810" s="1" t="s">
        <v>15</v>
      </c>
      <c r="L810" s="1" t="str">
        <f aca="false">IFERROR(G810/J810,"")</f>
        <v/>
      </c>
    </row>
    <row r="811" customFormat="false" ht="13.8" hidden="false" customHeight="false" outlineLevel="0" collapsed="false">
      <c r="A811" s="1" t="s">
        <v>17</v>
      </c>
      <c r="B811" s="1" t="s">
        <v>309</v>
      </c>
      <c r="C811" s="2" t="n">
        <v>45904</v>
      </c>
      <c r="D811" s="2" t="n">
        <v>45933</v>
      </c>
      <c r="E811" s="1" t="s">
        <v>104</v>
      </c>
      <c r="F811" s="1" t="n">
        <v>500</v>
      </c>
      <c r="G811" s="1" t="n">
        <v>500</v>
      </c>
      <c r="I811" s="1" t="s">
        <v>15</v>
      </c>
      <c r="L811" s="1" t="str">
        <f aca="false">IFERROR(G811/J811,"")</f>
        <v/>
      </c>
    </row>
    <row r="812" customFormat="false" ht="13.8" hidden="false" customHeight="false" outlineLevel="0" collapsed="false">
      <c r="A812" s="1" t="s">
        <v>12</v>
      </c>
      <c r="B812" s="1" t="s">
        <v>309</v>
      </c>
      <c r="C812" s="2" t="n">
        <v>45920</v>
      </c>
      <c r="D812" s="2" t="n">
        <v>45933</v>
      </c>
      <c r="E812" s="1" t="s">
        <v>116</v>
      </c>
      <c r="F812" s="1" t="n">
        <v>4136</v>
      </c>
      <c r="G812" s="3" t="n">
        <v>4136</v>
      </c>
      <c r="H812" s="3"/>
      <c r="I812" s="1" t="s">
        <v>15</v>
      </c>
      <c r="L812" s="1" t="str">
        <f aca="false">IFERROR(G812/J812,"")</f>
        <v/>
      </c>
    </row>
    <row r="813" customFormat="false" ht="13.8" hidden="false" customHeight="false" outlineLevel="0" collapsed="false">
      <c r="A813" s="1" t="s">
        <v>12</v>
      </c>
      <c r="B813" s="1" t="s">
        <v>309</v>
      </c>
      <c r="C813" s="2" t="n">
        <v>45936</v>
      </c>
      <c r="D813" s="2" t="n">
        <v>45945</v>
      </c>
      <c r="E813" s="1" t="s">
        <v>311</v>
      </c>
      <c r="F813" s="1" t="n">
        <v>2875.92</v>
      </c>
      <c r="G813" s="3" t="n">
        <v>2875.92</v>
      </c>
      <c r="H813" s="3"/>
      <c r="I813" s="1" t="s">
        <v>307</v>
      </c>
      <c r="L813" s="1" t="str">
        <f aca="false">IFERROR(G813/J813,"")</f>
        <v/>
      </c>
    </row>
    <row r="814" customFormat="false" ht="13.8" hidden="false" customHeight="false" outlineLevel="0" collapsed="false">
      <c r="A814" s="1" t="s">
        <v>12</v>
      </c>
      <c r="B814" s="1" t="s">
        <v>107</v>
      </c>
      <c r="C814" s="2" t="n">
        <v>45674</v>
      </c>
      <c r="D814" s="2" t="n">
        <v>45947</v>
      </c>
      <c r="E814" s="1" t="s">
        <v>110</v>
      </c>
      <c r="F814" s="1" t="n">
        <v>1598</v>
      </c>
      <c r="G814" s="3" t="n">
        <v>1598</v>
      </c>
      <c r="H814" s="3"/>
      <c r="I814" s="1" t="s">
        <v>19</v>
      </c>
      <c r="L814" s="1" t="str">
        <f aca="false">IFERROR(G814/J814,"")</f>
        <v/>
      </c>
    </row>
    <row r="815" customFormat="false" ht="13.8" hidden="false" customHeight="false" outlineLevel="0" collapsed="false">
      <c r="A815" s="1" t="s">
        <v>17</v>
      </c>
      <c r="B815" s="1" t="s">
        <v>309</v>
      </c>
      <c r="C815" s="2" t="n">
        <v>45919</v>
      </c>
      <c r="D815" s="2" t="n">
        <v>45948</v>
      </c>
      <c r="E815" s="1" t="s">
        <v>305</v>
      </c>
      <c r="F815" s="1" t="n">
        <v>3960</v>
      </c>
      <c r="G815" s="3" t="n">
        <v>3960</v>
      </c>
      <c r="H815" s="3"/>
      <c r="I815" s="1" t="s">
        <v>15</v>
      </c>
      <c r="L815" s="1" t="str">
        <f aca="false">IFERROR(G815/J815,"")</f>
        <v/>
      </c>
    </row>
    <row r="816" customFormat="false" ht="13.8" hidden="false" customHeight="false" outlineLevel="0" collapsed="false">
      <c r="A816" s="1" t="s">
        <v>12</v>
      </c>
      <c r="B816" s="1" t="s">
        <v>309</v>
      </c>
      <c r="C816" s="2" t="n">
        <v>45931</v>
      </c>
      <c r="D816" s="2" t="n">
        <v>45953</v>
      </c>
      <c r="E816" s="1" t="s">
        <v>311</v>
      </c>
      <c r="F816" s="1" t="n">
        <v>4049.56</v>
      </c>
      <c r="G816" s="3" t="n">
        <v>4049.56</v>
      </c>
      <c r="H816" s="3"/>
      <c r="I816" s="1" t="s">
        <v>307</v>
      </c>
      <c r="L816" s="1" t="str">
        <f aca="false">IFERROR(G816/J816,"")</f>
        <v/>
      </c>
    </row>
    <row r="817" customFormat="false" ht="13.8" hidden="false" customHeight="false" outlineLevel="0" collapsed="false">
      <c r="A817" s="1" t="s">
        <v>50</v>
      </c>
      <c r="B817" s="1" t="s">
        <v>309</v>
      </c>
      <c r="C817" s="2" t="n">
        <v>45925</v>
      </c>
      <c r="D817" s="2" t="n">
        <v>45954</v>
      </c>
      <c r="E817" s="1" t="s">
        <v>315</v>
      </c>
      <c r="F817" s="1" t="n">
        <v>6500</v>
      </c>
      <c r="G817" s="3" t="n">
        <v>6500</v>
      </c>
      <c r="H817" s="3"/>
      <c r="I817" s="1" t="s">
        <v>15</v>
      </c>
      <c r="L817" s="1" t="str">
        <f aca="false">IFERROR(G817/J817,"")</f>
        <v/>
      </c>
    </row>
    <row r="818" customFormat="false" ht="13.8" hidden="false" customHeight="false" outlineLevel="0" collapsed="false">
      <c r="A818" s="1" t="s">
        <v>50</v>
      </c>
      <c r="B818" s="1" t="s">
        <v>309</v>
      </c>
      <c r="C818" s="2" t="n">
        <v>45925</v>
      </c>
      <c r="D818" s="2" t="n">
        <v>45954</v>
      </c>
      <c r="E818" s="1" t="s">
        <v>260</v>
      </c>
      <c r="F818" s="1" t="n">
        <v>1000</v>
      </c>
      <c r="G818" s="3" t="n">
        <v>1000</v>
      </c>
      <c r="H818" s="3"/>
      <c r="I818" s="1" t="s">
        <v>19</v>
      </c>
      <c r="L818" s="1" t="str">
        <f aca="false">IFERROR(G818/J818,"")</f>
        <v/>
      </c>
    </row>
    <row r="819" customFormat="false" ht="13.8" hidden="false" customHeight="false" outlineLevel="0" collapsed="false">
      <c r="A819" s="1" t="s">
        <v>50</v>
      </c>
      <c r="B819" s="1" t="s">
        <v>309</v>
      </c>
      <c r="C819" s="2" t="n">
        <v>45925</v>
      </c>
      <c r="D819" s="2" t="n">
        <v>45954</v>
      </c>
      <c r="E819" s="1" t="s">
        <v>260</v>
      </c>
      <c r="F819" s="1" t="n">
        <v>1000</v>
      </c>
      <c r="G819" s="3" t="n">
        <v>1000</v>
      </c>
      <c r="H819" s="3"/>
      <c r="I819" s="1" t="s">
        <v>19</v>
      </c>
      <c r="L819" s="1" t="str">
        <f aca="false">IFERROR(G819/J819,"")</f>
        <v/>
      </c>
    </row>
    <row r="820" customFormat="false" ht="13.8" hidden="false" customHeight="false" outlineLevel="0" collapsed="false">
      <c r="A820" s="1" t="s">
        <v>17</v>
      </c>
      <c r="B820" s="1" t="s">
        <v>309</v>
      </c>
      <c r="C820" s="2" t="n">
        <v>45926</v>
      </c>
      <c r="D820" s="2" t="n">
        <v>45955</v>
      </c>
      <c r="E820" s="1" t="s">
        <v>316</v>
      </c>
      <c r="F820" s="1" t="n">
        <v>1500</v>
      </c>
      <c r="G820" s="3" t="n">
        <v>1500</v>
      </c>
      <c r="H820" s="3"/>
      <c r="I820" s="1" t="s">
        <v>15</v>
      </c>
      <c r="L820" s="1" t="str">
        <f aca="false">IFERROR(G820/J820,"")</f>
        <v/>
      </c>
    </row>
    <row r="821" customFormat="false" ht="13.8" hidden="false" customHeight="false" outlineLevel="0" collapsed="false">
      <c r="A821" s="5" t="s">
        <v>17</v>
      </c>
      <c r="B821" s="6" t="n">
        <v>45778</v>
      </c>
      <c r="C821" s="11" t="n">
        <v>45792</v>
      </c>
      <c r="D821" s="11" t="n">
        <v>45975</v>
      </c>
      <c r="E821" s="5" t="s">
        <v>317</v>
      </c>
      <c r="F821" s="8" t="n">
        <v>1300</v>
      </c>
      <c r="G821" s="8" t="n">
        <v>1300</v>
      </c>
      <c r="H821" s="9"/>
      <c r="J821" s="12" t="n">
        <v>22</v>
      </c>
      <c r="L821" s="1" t="n">
        <f aca="false">IFERROR(G821/J821,"")</f>
        <v>59.0909090909091</v>
      </c>
    </row>
    <row r="822" customFormat="false" ht="13.8" hidden="false" customHeight="false" outlineLevel="0" collapsed="false">
      <c r="A822" s="1" t="s">
        <v>12</v>
      </c>
      <c r="B822" s="1" t="s">
        <v>309</v>
      </c>
      <c r="C822" s="2" t="n">
        <v>45964</v>
      </c>
      <c r="D822" s="2" t="n">
        <v>45982</v>
      </c>
      <c r="E822" s="1" t="s">
        <v>311</v>
      </c>
      <c r="F822" s="1" t="n">
        <v>4300.92</v>
      </c>
      <c r="G822" s="3" t="n">
        <v>4300.92</v>
      </c>
      <c r="H822" s="3"/>
      <c r="I822" s="1" t="s">
        <v>307</v>
      </c>
      <c r="L822" s="1" t="str">
        <f aca="false">IFERROR(G822/J822,"")</f>
        <v/>
      </c>
    </row>
    <row r="823" customFormat="false" ht="13.8" hidden="false" customHeight="false" outlineLevel="0" collapsed="false">
      <c r="A823" s="1" t="s">
        <v>12</v>
      </c>
      <c r="B823" s="1" t="s">
        <v>309</v>
      </c>
      <c r="C823" s="2" t="n">
        <v>45967</v>
      </c>
      <c r="D823" s="2" t="n">
        <v>45988</v>
      </c>
      <c r="E823" s="1" t="s">
        <v>311</v>
      </c>
      <c r="F823" s="1" t="n">
        <v>4049.56</v>
      </c>
      <c r="G823" s="3" t="n">
        <v>4049.56</v>
      </c>
      <c r="H823" s="3"/>
      <c r="I823" s="1" t="s">
        <v>307</v>
      </c>
      <c r="L823" s="1" t="str">
        <f aca="false">IFERROR(G823/J823,"")</f>
        <v/>
      </c>
    </row>
    <row r="824" customFormat="false" ht="13.8" hidden="false" customHeight="false" outlineLevel="0" collapsed="false">
      <c r="A824" s="5" t="s">
        <v>17</v>
      </c>
      <c r="B824" s="6" t="n">
        <v>45778</v>
      </c>
      <c r="C824" s="11" t="n">
        <v>45951</v>
      </c>
      <c r="D824" s="11" t="n">
        <v>45991</v>
      </c>
      <c r="E824" s="5" t="s">
        <v>210</v>
      </c>
      <c r="F824" s="8" t="n">
        <v>8500</v>
      </c>
      <c r="G824" s="8" t="n">
        <v>8500</v>
      </c>
      <c r="H824" s="9"/>
      <c r="J824" s="12" t="n">
        <v>22</v>
      </c>
      <c r="L824" s="1" t="n">
        <f aca="false">IFERROR(G824/J824,"")</f>
        <v>386.363636363636</v>
      </c>
    </row>
    <row r="825" customFormat="false" ht="13.8" hidden="false" customHeight="false" outlineLevel="0" collapsed="false">
      <c r="A825" s="1" t="s">
        <v>12</v>
      </c>
      <c r="B825" s="1" t="s">
        <v>283</v>
      </c>
      <c r="C825" s="2" t="n">
        <v>45812</v>
      </c>
      <c r="D825" s="2" t="n">
        <v>45994</v>
      </c>
      <c r="E825" s="1" t="s">
        <v>104</v>
      </c>
      <c r="F825" s="1" t="n">
        <v>1000</v>
      </c>
      <c r="G825" s="3" t="n">
        <v>1000</v>
      </c>
      <c r="H825" s="3"/>
      <c r="I825" s="1" t="s">
        <v>15</v>
      </c>
      <c r="L825" s="1" t="str">
        <f aca="false">IFERROR(G825/J825,"")</f>
        <v/>
      </c>
    </row>
    <row r="826" customFormat="false" ht="13.8" hidden="false" customHeight="false" outlineLevel="0" collapsed="false">
      <c r="A826" s="1" t="s">
        <v>12</v>
      </c>
      <c r="B826" s="1" t="s">
        <v>309</v>
      </c>
      <c r="C826" s="2" t="n">
        <v>45992</v>
      </c>
      <c r="D826" s="2" t="n">
        <v>46003</v>
      </c>
      <c r="E826" s="1" t="s">
        <v>311</v>
      </c>
      <c r="F826" s="1" t="n">
        <v>4300.92</v>
      </c>
      <c r="G826" s="3" t="n">
        <v>4300.92</v>
      </c>
      <c r="H826" s="3"/>
      <c r="I826" s="1" t="s">
        <v>307</v>
      </c>
      <c r="L826" s="1" t="str">
        <f aca="false">IFERROR(G826/J826,"")</f>
        <v/>
      </c>
    </row>
    <row r="827" customFormat="false" ht="13.8" hidden="false" customHeight="false" outlineLevel="0" collapsed="false">
      <c r="A827" s="1" t="s">
        <v>12</v>
      </c>
      <c r="B827" s="1" t="s">
        <v>309</v>
      </c>
      <c r="C827" s="2" t="n">
        <v>45995</v>
      </c>
      <c r="D827" s="2" t="n">
        <v>46009</v>
      </c>
      <c r="E827" s="1" t="s">
        <v>311</v>
      </c>
      <c r="F827" s="1" t="n">
        <v>4049.56</v>
      </c>
      <c r="G827" s="3" t="n">
        <v>4049.56</v>
      </c>
      <c r="H827" s="3"/>
      <c r="I827" s="1" t="s">
        <v>307</v>
      </c>
      <c r="L827" s="1" t="str">
        <f aca="false">IFERROR(G827/J827,"")</f>
        <v/>
      </c>
    </row>
    <row r="828" customFormat="false" ht="13.8" hidden="false" customHeight="false" outlineLevel="0" collapsed="false">
      <c r="A828" s="1" t="s">
        <v>17</v>
      </c>
      <c r="B828" s="1" t="s">
        <v>120</v>
      </c>
      <c r="C828" s="2" t="n">
        <v>45722</v>
      </c>
      <c r="D828" s="2" t="n">
        <v>46022</v>
      </c>
      <c r="E828" s="1" t="s">
        <v>59</v>
      </c>
      <c r="F828" s="1" t="n">
        <v>3333</v>
      </c>
      <c r="G828" s="3" t="n">
        <v>3333</v>
      </c>
      <c r="H828" s="3"/>
      <c r="I828" s="1" t="s">
        <v>15</v>
      </c>
      <c r="L828" s="1" t="str">
        <f aca="false">IFERROR(G828/J828,"")</f>
        <v/>
      </c>
    </row>
    <row r="829" customFormat="false" ht="13.8" hidden="false" customHeight="false" outlineLevel="0" collapsed="false">
      <c r="A829" s="1" t="s">
        <v>12</v>
      </c>
      <c r="B829" s="1" t="s">
        <v>120</v>
      </c>
      <c r="C829" s="2" t="n">
        <v>45722</v>
      </c>
      <c r="D829" s="2" t="n">
        <v>46022</v>
      </c>
      <c r="E829" s="1" t="s">
        <v>59</v>
      </c>
      <c r="F829" s="1" t="n">
        <v>3333</v>
      </c>
      <c r="G829" s="3" t="n">
        <v>3333</v>
      </c>
      <c r="H829" s="3"/>
      <c r="I829" s="1" t="s">
        <v>15</v>
      </c>
      <c r="L829" s="1" t="str">
        <f aca="false">IFERROR(G829/J829,"")</f>
        <v/>
      </c>
    </row>
    <row r="830" customFormat="false" ht="13.8" hidden="false" customHeight="false" outlineLevel="0" collapsed="false">
      <c r="A830" s="1" t="s">
        <v>17</v>
      </c>
      <c r="B830" s="1" t="s">
        <v>129</v>
      </c>
      <c r="C830" s="2" t="n">
        <v>45722</v>
      </c>
      <c r="D830" s="2" t="n">
        <v>46022</v>
      </c>
      <c r="E830" s="1" t="s">
        <v>59</v>
      </c>
      <c r="F830" s="1" t="n">
        <v>3333</v>
      </c>
      <c r="G830" s="3" t="n">
        <v>3333</v>
      </c>
      <c r="H830" s="3"/>
      <c r="I830" s="1" t="s">
        <v>15</v>
      </c>
      <c r="L830" s="1" t="str">
        <f aca="false">IFERROR(G830/J830,"")</f>
        <v/>
      </c>
    </row>
    <row r="831" customFormat="false" ht="13.8" hidden="false" customHeight="false" outlineLevel="0" collapsed="false">
      <c r="A831" s="1" t="s">
        <v>12</v>
      </c>
      <c r="B831" s="1" t="s">
        <v>129</v>
      </c>
      <c r="C831" s="2" t="n">
        <v>45722</v>
      </c>
      <c r="D831" s="7" t="n">
        <v>46022</v>
      </c>
      <c r="E831" s="1" t="s">
        <v>59</v>
      </c>
      <c r="F831" s="8" t="n">
        <v>3333</v>
      </c>
      <c r="G831" s="8" t="n">
        <v>3333</v>
      </c>
      <c r="H831" s="9"/>
      <c r="I831" s="9" t="s">
        <v>171</v>
      </c>
      <c r="K831" s="9"/>
      <c r="L831" s="1" t="str">
        <f aca="false">IFERROR(G831/J831,"")</f>
        <v/>
      </c>
    </row>
    <row r="832" customFormat="false" ht="13.8" hidden="false" customHeight="false" outlineLevel="0" collapsed="false">
      <c r="A832" s="1" t="s">
        <v>17</v>
      </c>
      <c r="B832" s="1" t="s">
        <v>245</v>
      </c>
      <c r="C832" s="2" t="n">
        <v>45722</v>
      </c>
      <c r="D832" s="2" t="n">
        <v>46022</v>
      </c>
      <c r="E832" s="1" t="s">
        <v>59</v>
      </c>
      <c r="F832" s="1" t="n">
        <v>3334</v>
      </c>
      <c r="G832" s="3" t="n">
        <v>3334</v>
      </c>
      <c r="H832" s="3"/>
      <c r="I832" s="1" t="s">
        <v>15</v>
      </c>
      <c r="L832" s="1" t="str">
        <f aca="false">IFERROR(G832/J832,"")</f>
        <v/>
      </c>
    </row>
    <row r="833" customFormat="false" ht="13.8" hidden="false" customHeight="false" outlineLevel="0" collapsed="false">
      <c r="A833" s="1" t="s">
        <v>12</v>
      </c>
      <c r="B833" s="1" t="s">
        <v>245</v>
      </c>
      <c r="C833" s="2" t="n">
        <v>45722</v>
      </c>
      <c r="D833" s="2" t="n">
        <v>46022</v>
      </c>
      <c r="E833" s="1" t="s">
        <v>59</v>
      </c>
      <c r="F833" s="1" t="n">
        <v>3334</v>
      </c>
      <c r="G833" s="3" t="n">
        <v>3334</v>
      </c>
      <c r="H833" s="3"/>
      <c r="I833" s="1" t="s">
        <v>15</v>
      </c>
      <c r="L833" s="1" t="str">
        <f aca="false">IFERROR(G833/J833,"")</f>
        <v/>
      </c>
    </row>
    <row r="834" customFormat="false" ht="13.8" hidden="false" customHeight="false" outlineLevel="0" collapsed="false">
      <c r="A834" s="5" t="s">
        <v>17</v>
      </c>
      <c r="B834" s="6" t="n">
        <v>45748</v>
      </c>
      <c r="C834" s="7" t="n">
        <v>45743</v>
      </c>
      <c r="D834" s="7" t="n">
        <v>46022</v>
      </c>
      <c r="E834" s="5" t="s">
        <v>158</v>
      </c>
      <c r="F834" s="8" t="n">
        <v>3333</v>
      </c>
      <c r="G834" s="8" t="n">
        <v>3333</v>
      </c>
      <c r="H834" s="9"/>
      <c r="I834" s="9" t="s">
        <v>139</v>
      </c>
      <c r="K834" s="9"/>
      <c r="L834" s="1" t="str">
        <f aca="false">IFERROR(G834/J834,"")</f>
        <v/>
      </c>
    </row>
    <row r="835" customFormat="false" ht="13.8" hidden="false" customHeight="false" outlineLevel="0" collapsed="false">
      <c r="A835" s="5" t="s">
        <v>141</v>
      </c>
      <c r="B835" s="6" t="n">
        <v>45748</v>
      </c>
      <c r="C835" s="7" t="n">
        <v>45743</v>
      </c>
      <c r="D835" s="7" t="n">
        <v>46022</v>
      </c>
      <c r="E835" s="5" t="s">
        <v>241</v>
      </c>
      <c r="F835" s="8" t="n">
        <v>18645</v>
      </c>
      <c r="G835" s="8" t="n">
        <v>18645</v>
      </c>
      <c r="H835" s="9" t="s">
        <v>182</v>
      </c>
      <c r="I835" s="9"/>
      <c r="K835" s="9"/>
      <c r="L835" s="1" t="str">
        <f aca="false">IFERROR(G835/J835,"")</f>
        <v/>
      </c>
    </row>
    <row r="836" customFormat="false" ht="13.8" hidden="false" customHeight="false" outlineLevel="0" collapsed="false">
      <c r="A836" s="10" t="s">
        <v>12</v>
      </c>
      <c r="B836" s="6" t="n">
        <v>45748</v>
      </c>
      <c r="C836" s="7" t="n">
        <v>45743</v>
      </c>
      <c r="D836" s="7" t="n">
        <v>46022</v>
      </c>
      <c r="E836" s="5" t="s">
        <v>318</v>
      </c>
      <c r="F836" s="8" t="n">
        <v>7668</v>
      </c>
      <c r="G836" s="8" t="n">
        <v>6134.4</v>
      </c>
      <c r="H836" s="9"/>
      <c r="I836" s="9" t="s">
        <v>155</v>
      </c>
      <c r="K836" s="9" t="s">
        <v>319</v>
      </c>
      <c r="L836" s="1" t="str">
        <f aca="false">IFERROR(G836/J836,"")</f>
        <v/>
      </c>
    </row>
    <row r="837" customFormat="false" ht="13.8" hidden="false" customHeight="false" outlineLevel="0" collapsed="false">
      <c r="A837" s="5" t="s">
        <v>141</v>
      </c>
      <c r="B837" s="6" t="n">
        <v>45748</v>
      </c>
      <c r="C837" s="7" t="n">
        <v>45743</v>
      </c>
      <c r="D837" s="7" t="n">
        <v>46022</v>
      </c>
      <c r="E837" s="5" t="s">
        <v>318</v>
      </c>
      <c r="F837" s="8" t="n">
        <v>14803.5</v>
      </c>
      <c r="G837" s="8" t="n">
        <v>11842.8</v>
      </c>
      <c r="H837" s="9"/>
      <c r="I837" s="9" t="s">
        <v>217</v>
      </c>
      <c r="K837" s="9" t="s">
        <v>319</v>
      </c>
      <c r="L837" s="1" t="str">
        <f aca="false">IFERROR(G837/J837,"")</f>
        <v/>
      </c>
    </row>
    <row r="838" customFormat="false" ht="13.8" hidden="false" customHeight="false" outlineLevel="0" collapsed="false">
      <c r="A838" s="5" t="s">
        <v>17</v>
      </c>
      <c r="B838" s="6" t="n">
        <v>45778</v>
      </c>
      <c r="C838" s="11" t="n">
        <v>45722</v>
      </c>
      <c r="D838" s="11" t="n">
        <v>46022</v>
      </c>
      <c r="E838" s="5" t="s">
        <v>158</v>
      </c>
      <c r="F838" s="8" t="n">
        <v>3334</v>
      </c>
      <c r="G838" s="8" t="n">
        <v>3334</v>
      </c>
      <c r="H838" s="9"/>
      <c r="I838" s="1" t="s">
        <v>171</v>
      </c>
      <c r="J838" s="12" t="n">
        <v>50</v>
      </c>
      <c r="L838" s="1" t="n">
        <f aca="false">IFERROR(G838/J838,"")</f>
        <v>66.68</v>
      </c>
    </row>
    <row r="839" customFormat="false" ht="13.8" hidden="false" customHeight="false" outlineLevel="0" collapsed="false">
      <c r="A839" s="5" t="s">
        <v>17</v>
      </c>
      <c r="B839" s="6" t="n">
        <v>45778</v>
      </c>
      <c r="C839" s="11" t="n">
        <v>45729</v>
      </c>
      <c r="D839" s="11" t="n">
        <v>46022</v>
      </c>
      <c r="E839" s="5" t="s">
        <v>207</v>
      </c>
      <c r="F839" s="8" t="n">
        <v>2940</v>
      </c>
      <c r="G839" s="8" t="n">
        <v>2940</v>
      </c>
      <c r="H839" s="9"/>
      <c r="I839" s="1" t="s">
        <v>152</v>
      </c>
      <c r="J839" s="12"/>
      <c r="K839" s="1" t="s">
        <v>208</v>
      </c>
      <c r="L839" s="1" t="str">
        <f aca="false">IFERROR(G839/J839,"")</f>
        <v/>
      </c>
    </row>
    <row r="840" customFormat="false" ht="13.8" hidden="false" customHeight="false" outlineLevel="0" collapsed="false">
      <c r="A840" s="5" t="s">
        <v>17</v>
      </c>
      <c r="B840" s="6" t="n">
        <v>45778</v>
      </c>
      <c r="C840" s="11" t="n">
        <v>45721</v>
      </c>
      <c r="D840" s="11" t="n">
        <v>46022</v>
      </c>
      <c r="E840" s="5" t="s">
        <v>320</v>
      </c>
      <c r="F840" s="8" t="n">
        <v>3375</v>
      </c>
      <c r="G840" s="8" t="n">
        <v>2700</v>
      </c>
      <c r="H840" s="9"/>
      <c r="I840" s="1" t="s">
        <v>155</v>
      </c>
      <c r="J840" s="12" t="n">
        <v>125</v>
      </c>
      <c r="K840" s="1" t="s">
        <v>321</v>
      </c>
      <c r="L840" s="1" t="n">
        <f aca="false">IFERROR(G840/J840,"")</f>
        <v>21.6</v>
      </c>
    </row>
    <row r="841" customFormat="false" ht="13.8" hidden="false" customHeight="false" outlineLevel="0" collapsed="false">
      <c r="A841" s="5" t="s">
        <v>17</v>
      </c>
      <c r="B841" s="6" t="n">
        <v>45778</v>
      </c>
      <c r="C841" s="11" t="n">
        <v>45635</v>
      </c>
      <c r="D841" s="11" t="n">
        <v>46022</v>
      </c>
      <c r="E841" s="5" t="s">
        <v>300</v>
      </c>
      <c r="F841" s="8" t="n">
        <v>2500</v>
      </c>
      <c r="G841" s="8" t="n">
        <v>2500</v>
      </c>
      <c r="H841" s="9"/>
      <c r="J841" s="12" t="n">
        <v>22</v>
      </c>
      <c r="L841" s="1" t="n">
        <f aca="false">IFERROR(G841/J841,"")</f>
        <v>113.636363636364</v>
      </c>
    </row>
    <row r="842" customFormat="false" ht="13.8" hidden="false" customHeight="false" outlineLevel="0" collapsed="false">
      <c r="A842" s="5" t="s">
        <v>17</v>
      </c>
      <c r="B842" s="6" t="n">
        <v>45778</v>
      </c>
      <c r="C842" s="11" t="n">
        <v>45678</v>
      </c>
      <c r="D842" s="11" t="n">
        <v>46022</v>
      </c>
      <c r="E842" s="5" t="s">
        <v>318</v>
      </c>
      <c r="F842" s="8" t="n">
        <v>14803.5</v>
      </c>
      <c r="G842" s="8" t="n">
        <v>11842.8</v>
      </c>
      <c r="H842" s="9"/>
      <c r="I842" s="1" t="s">
        <v>217</v>
      </c>
      <c r="J842" s="12" t="n">
        <v>44</v>
      </c>
      <c r="K842" s="1" t="s">
        <v>319</v>
      </c>
      <c r="L842" s="1" t="n">
        <f aca="false">IFERROR(G842/J842,"")</f>
        <v>269.154545454545</v>
      </c>
    </row>
    <row r="843" customFormat="false" ht="13.8" hidden="false" customHeight="false" outlineLevel="0" collapsed="false">
      <c r="A843" s="5" t="s">
        <v>17</v>
      </c>
      <c r="B843" s="6" t="n">
        <v>45778</v>
      </c>
      <c r="C843" s="11" t="n">
        <v>45681</v>
      </c>
      <c r="D843" s="11" t="n">
        <v>46022</v>
      </c>
      <c r="E843" s="5" t="s">
        <v>318</v>
      </c>
      <c r="F843" s="8" t="n">
        <v>8466.75</v>
      </c>
      <c r="G843" s="8" t="n">
        <v>6773.4</v>
      </c>
      <c r="H843" s="9"/>
      <c r="I843" s="1" t="s">
        <v>155</v>
      </c>
      <c r="J843" s="12" t="n">
        <v>159</v>
      </c>
      <c r="K843" s="1" t="s">
        <v>319</v>
      </c>
      <c r="L843" s="1" t="n">
        <f aca="false">IFERROR(G843/J843,"")</f>
        <v>42.6</v>
      </c>
    </row>
    <row r="844" customFormat="false" ht="13.8" hidden="false" customHeight="false" outlineLevel="0" collapsed="false">
      <c r="A844" s="1" t="s">
        <v>12</v>
      </c>
      <c r="B844" s="1" t="s">
        <v>297</v>
      </c>
      <c r="C844" s="2" t="n">
        <v>45842</v>
      </c>
      <c r="D844" s="2" t="n">
        <v>46025</v>
      </c>
      <c r="E844" s="1" t="s">
        <v>104</v>
      </c>
      <c r="F844" s="1" t="n">
        <v>1000</v>
      </c>
      <c r="G844" s="3" t="n">
        <v>1000</v>
      </c>
      <c r="H844" s="3"/>
      <c r="I844" s="1" t="s">
        <v>15</v>
      </c>
      <c r="L844" s="1" t="str">
        <f aca="false">IFERROR(G844/J844,"")</f>
        <v/>
      </c>
    </row>
    <row r="845" customFormat="false" ht="13.8" hidden="false" customHeight="false" outlineLevel="0" collapsed="false">
      <c r="A845" s="5" t="s">
        <v>141</v>
      </c>
      <c r="B845" s="6" t="n">
        <v>45748</v>
      </c>
      <c r="C845" s="7" t="n">
        <v>45756</v>
      </c>
      <c r="D845" s="7" t="n">
        <v>46030</v>
      </c>
      <c r="E845" s="5" t="s">
        <v>322</v>
      </c>
      <c r="F845" s="8" t="n">
        <v>700</v>
      </c>
      <c r="G845" s="8" t="n">
        <v>700</v>
      </c>
      <c r="H845" s="9"/>
      <c r="I845" s="9"/>
      <c r="K845" s="9"/>
      <c r="L845" s="1" t="str">
        <f aca="false">IFERROR(G845/J845,"")</f>
        <v/>
      </c>
    </row>
    <row r="846" customFormat="false" ht="13.8" hidden="false" customHeight="false" outlineLevel="0" collapsed="false">
      <c r="A846" s="5" t="s">
        <v>17</v>
      </c>
      <c r="B846" s="6" t="n">
        <v>45778</v>
      </c>
      <c r="C846" s="11" t="n">
        <v>45756</v>
      </c>
      <c r="D846" s="11" t="n">
        <v>46030</v>
      </c>
      <c r="E846" s="5" t="s">
        <v>322</v>
      </c>
      <c r="F846" s="8" t="n">
        <v>700</v>
      </c>
      <c r="G846" s="8" t="n">
        <v>700</v>
      </c>
      <c r="H846" s="9"/>
      <c r="J846" s="12" t="n">
        <v>22</v>
      </c>
      <c r="L846" s="1" t="n">
        <f aca="false">IFERROR(G846/J846,"")</f>
        <v>31.8181818181818</v>
      </c>
    </row>
    <row r="847" customFormat="false" ht="13.8" hidden="false" customHeight="false" outlineLevel="0" collapsed="false">
      <c r="A847" s="5" t="s">
        <v>17</v>
      </c>
      <c r="B847" s="6" t="n">
        <v>45778</v>
      </c>
      <c r="C847" s="11" t="n">
        <v>45796</v>
      </c>
      <c r="D847" s="11" t="n">
        <v>46040</v>
      </c>
      <c r="E847" s="5" t="s">
        <v>323</v>
      </c>
      <c r="F847" s="8" t="n">
        <v>750</v>
      </c>
      <c r="G847" s="8" t="n">
        <v>750</v>
      </c>
      <c r="H847" s="9"/>
      <c r="J847" s="12" t="n">
        <v>11</v>
      </c>
      <c r="L847" s="1" t="n">
        <f aca="false">IFERROR(G847/J847,"")</f>
        <v>68.1818181818182</v>
      </c>
    </row>
    <row r="848" customFormat="false" ht="13.8" hidden="false" customHeight="false" outlineLevel="0" collapsed="false">
      <c r="A848" s="1" t="s">
        <v>12</v>
      </c>
      <c r="B848" s="1" t="s">
        <v>304</v>
      </c>
      <c r="C848" s="2" t="n">
        <v>45873</v>
      </c>
      <c r="D848" s="2" t="n">
        <v>46056</v>
      </c>
      <c r="E848" s="1" t="s">
        <v>104</v>
      </c>
      <c r="F848" s="1" t="n">
        <v>1001.32</v>
      </c>
      <c r="G848" s="3" t="n">
        <v>1001.32</v>
      </c>
      <c r="H848" s="3"/>
      <c r="I848" s="1" t="s">
        <v>15</v>
      </c>
      <c r="L848" s="1" t="str">
        <f aca="false">IFERROR(G848/J848,"")</f>
        <v/>
      </c>
    </row>
    <row r="849" customFormat="false" ht="13.8" hidden="false" customHeight="false" outlineLevel="0" collapsed="false">
      <c r="A849" s="1" t="s">
        <v>12</v>
      </c>
      <c r="B849" s="1" t="s">
        <v>309</v>
      </c>
      <c r="C849" s="2" t="n">
        <v>45904</v>
      </c>
      <c r="D849" s="2" t="n">
        <v>46084</v>
      </c>
      <c r="E849" s="1" t="s">
        <v>104</v>
      </c>
      <c r="F849" s="1" t="n">
        <v>1001.98</v>
      </c>
      <c r="G849" s="3" t="n">
        <v>1001.98</v>
      </c>
      <c r="H849" s="3"/>
      <c r="I849" s="1" t="s">
        <v>15</v>
      </c>
      <c r="L849" s="1" t="str">
        <f aca="false">IFERROR(G849/J849,"")</f>
        <v/>
      </c>
    </row>
    <row r="850" customFormat="false" ht="13.8" hidden="false" customHeight="false" outlineLevel="0" collapsed="false">
      <c r="A850" s="5" t="s">
        <v>141</v>
      </c>
      <c r="B850" s="6" t="n">
        <v>45748</v>
      </c>
      <c r="C850" s="7" t="n">
        <v>45743</v>
      </c>
      <c r="D850" s="7" t="n">
        <v>46097</v>
      </c>
      <c r="E850" s="5" t="s">
        <v>324</v>
      </c>
      <c r="F850" s="8" t="n">
        <v>3195</v>
      </c>
      <c r="G850" s="8" t="n">
        <v>3195</v>
      </c>
      <c r="H850" s="9"/>
      <c r="I850" s="9"/>
      <c r="K850" s="9"/>
      <c r="L850" s="1" t="str">
        <f aca="false">IFERROR(G850/J850,"")</f>
        <v/>
      </c>
    </row>
    <row r="851" customFormat="false" ht="13.8" hidden="false" customHeight="false" outlineLevel="0" collapsed="false">
      <c r="A851" s="5" t="s">
        <v>17</v>
      </c>
      <c r="B851" s="6" t="n">
        <v>45778</v>
      </c>
      <c r="C851" s="11" t="n">
        <v>45679</v>
      </c>
      <c r="D851" s="11" t="n">
        <v>46097</v>
      </c>
      <c r="E851" s="5" t="s">
        <v>324</v>
      </c>
      <c r="F851" s="8" t="n">
        <v>3195</v>
      </c>
      <c r="G851" s="8" t="n">
        <v>3195</v>
      </c>
      <c r="H851" s="9"/>
      <c r="J851" s="17" t="n">
        <v>4</v>
      </c>
      <c r="L851" s="1" t="n">
        <f aca="false">IFERROR(G851/J851,"")</f>
        <v>798.75</v>
      </c>
    </row>
    <row r="852" customFormat="false" ht="13.8" hidden="false" customHeight="false" outlineLevel="0" collapsed="false">
      <c r="A852" s="5" t="s">
        <v>141</v>
      </c>
      <c r="B852" s="6" t="n">
        <v>45748</v>
      </c>
      <c r="C852" s="7" t="n">
        <v>45772</v>
      </c>
      <c r="D852" s="7" t="n">
        <v>46136</v>
      </c>
      <c r="E852" s="5" t="s">
        <v>325</v>
      </c>
      <c r="F852" s="8" t="n">
        <v>1000</v>
      </c>
      <c r="G852" s="8" t="n">
        <v>1000</v>
      </c>
      <c r="H852" s="9"/>
      <c r="I852" s="9" t="s">
        <v>217</v>
      </c>
      <c r="K852" s="9"/>
      <c r="L852" s="1" t="str">
        <f aca="false">IFERROR(G852/J852,"")</f>
        <v/>
      </c>
    </row>
    <row r="853" customFormat="false" ht="13.8" hidden="false" customHeight="false" outlineLevel="0" collapsed="false">
      <c r="A853" s="5" t="s">
        <v>141</v>
      </c>
      <c r="B853" s="6" t="n">
        <v>45748</v>
      </c>
      <c r="C853" s="7" t="n">
        <v>45772</v>
      </c>
      <c r="D853" s="7" t="n">
        <v>46136</v>
      </c>
      <c r="E853" s="5" t="s">
        <v>325</v>
      </c>
      <c r="F853" s="8" t="n">
        <v>1000</v>
      </c>
      <c r="G853" s="8" t="n">
        <v>1000</v>
      </c>
      <c r="H853" s="9"/>
      <c r="I853" s="9" t="s">
        <v>217</v>
      </c>
      <c r="K853" s="9"/>
      <c r="L853" s="1" t="str">
        <f aca="false">IFERROR(G853/J853,"")</f>
        <v/>
      </c>
    </row>
    <row r="854" customFormat="false" ht="13.8" hidden="false" customHeight="false" outlineLevel="0" collapsed="false">
      <c r="A854" s="5" t="s">
        <v>17</v>
      </c>
      <c r="B854" s="6" t="n">
        <v>45778</v>
      </c>
      <c r="C854" s="11" t="n">
        <v>45772</v>
      </c>
      <c r="D854" s="11" t="n">
        <v>46136</v>
      </c>
      <c r="E854" s="5" t="s">
        <v>325</v>
      </c>
      <c r="F854" s="8" t="n">
        <v>1000</v>
      </c>
      <c r="G854" s="8" t="n">
        <v>1000</v>
      </c>
      <c r="H854" s="9"/>
      <c r="I854" s="1" t="s">
        <v>217</v>
      </c>
      <c r="J854" s="12" t="n">
        <v>2</v>
      </c>
      <c r="L854" s="1" t="n">
        <f aca="false">IFERROR(G854/J854,"")</f>
        <v>500</v>
      </c>
    </row>
    <row r="855" customFormat="false" ht="13.8" hidden="false" customHeight="false" outlineLevel="0" collapsed="false">
      <c r="A855" s="5" t="s">
        <v>17</v>
      </c>
      <c r="B855" s="6" t="n">
        <v>45778</v>
      </c>
      <c r="C855" s="11" t="n">
        <v>45772</v>
      </c>
      <c r="D855" s="11" t="n">
        <v>46136</v>
      </c>
      <c r="E855" s="5" t="s">
        <v>325</v>
      </c>
      <c r="F855" s="8" t="n">
        <v>1000</v>
      </c>
      <c r="G855" s="8" t="n">
        <v>1000</v>
      </c>
      <c r="H855" s="9"/>
      <c r="I855" s="1" t="s">
        <v>217</v>
      </c>
      <c r="J855" s="12" t="n">
        <v>2</v>
      </c>
      <c r="L855" s="1" t="n">
        <f aca="false">IFERROR(G855/J855,"")</f>
        <v>500</v>
      </c>
    </row>
    <row r="856" customFormat="false" ht="13.8" hidden="false" customHeight="false" outlineLevel="0" collapsed="false">
      <c r="A856" s="1" t="s">
        <v>50</v>
      </c>
      <c r="B856" s="1" t="s">
        <v>129</v>
      </c>
      <c r="C856" s="2" t="n">
        <v>45776</v>
      </c>
      <c r="D856" s="2" t="n">
        <v>46140</v>
      </c>
      <c r="E856" s="1" t="s">
        <v>262</v>
      </c>
      <c r="F856" s="1" t="n">
        <v>2000</v>
      </c>
      <c r="G856" s="3" t="n">
        <v>2000</v>
      </c>
      <c r="H856" s="3"/>
      <c r="I856" s="1" t="s">
        <v>263</v>
      </c>
      <c r="L856" s="1" t="str">
        <f aca="false">IFERROR(G856/J856,"")</f>
        <v/>
      </c>
    </row>
    <row r="857" customFormat="false" ht="13.8" hidden="false" customHeight="false" outlineLevel="0" collapsed="false">
      <c r="A857" s="5" t="s">
        <v>141</v>
      </c>
      <c r="B857" s="6" t="n">
        <v>45748</v>
      </c>
      <c r="C857" s="7" t="n">
        <v>45775</v>
      </c>
      <c r="D857" s="7" t="n">
        <v>46140</v>
      </c>
      <c r="E857" s="5" t="s">
        <v>326</v>
      </c>
      <c r="F857" s="8" t="n">
        <v>2000</v>
      </c>
      <c r="G857" s="8" t="n">
        <v>2000</v>
      </c>
      <c r="H857" s="9"/>
      <c r="I857" s="9" t="s">
        <v>327</v>
      </c>
      <c r="K857" s="9"/>
      <c r="L857" s="1" t="str">
        <f aca="false">IFERROR(G857/J857,"")</f>
        <v/>
      </c>
    </row>
    <row r="858" customFormat="false" ht="13.8" hidden="false" customHeight="false" outlineLevel="0" collapsed="false">
      <c r="A858" s="5" t="s">
        <v>17</v>
      </c>
      <c r="B858" s="6" t="n">
        <v>45748</v>
      </c>
      <c r="C858" s="7" t="n">
        <v>45775</v>
      </c>
      <c r="D858" s="7" t="n">
        <v>46140</v>
      </c>
      <c r="E858" s="5" t="s">
        <v>326</v>
      </c>
      <c r="F858" s="8" t="n">
        <v>1000</v>
      </c>
      <c r="G858" s="8" t="n">
        <v>1000</v>
      </c>
      <c r="H858" s="9"/>
      <c r="I858" s="9" t="s">
        <v>328</v>
      </c>
      <c r="K858" s="9"/>
      <c r="L858" s="1" t="str">
        <f aca="false">IFERROR(G858/J858,"")</f>
        <v/>
      </c>
    </row>
    <row r="859" customFormat="false" ht="13.8" hidden="false" customHeight="false" outlineLevel="0" collapsed="false">
      <c r="A859" s="5" t="s">
        <v>17</v>
      </c>
      <c r="B859" s="6" t="n">
        <v>45748</v>
      </c>
      <c r="C859" s="7" t="n">
        <v>45775</v>
      </c>
      <c r="D859" s="7" t="n">
        <v>46140</v>
      </c>
      <c r="E859" s="5" t="s">
        <v>326</v>
      </c>
      <c r="F859" s="8" t="n">
        <v>999</v>
      </c>
      <c r="G859" s="8" t="n">
        <v>999</v>
      </c>
      <c r="H859" s="9"/>
      <c r="I859" s="9" t="s">
        <v>329</v>
      </c>
      <c r="K859" s="9"/>
      <c r="L859" s="1" t="str">
        <f aca="false">IFERROR(G859/J859,"")</f>
        <v/>
      </c>
    </row>
    <row r="860" customFormat="false" ht="13.8" hidden="false" customHeight="false" outlineLevel="0" collapsed="false">
      <c r="A860" s="10" t="s">
        <v>12</v>
      </c>
      <c r="B860" s="6" t="n">
        <v>45748</v>
      </c>
      <c r="C860" s="7" t="n">
        <v>45775</v>
      </c>
      <c r="D860" s="7" t="n">
        <v>46140</v>
      </c>
      <c r="E860" s="5" t="s">
        <v>326</v>
      </c>
      <c r="F860" s="8" t="n">
        <v>1000</v>
      </c>
      <c r="G860" s="8" t="n">
        <v>1000</v>
      </c>
      <c r="H860" s="9"/>
      <c r="I860" s="9" t="s">
        <v>291</v>
      </c>
      <c r="K860" s="9"/>
      <c r="L860" s="1" t="str">
        <f aca="false">IFERROR(G860/J860,"")</f>
        <v/>
      </c>
    </row>
    <row r="861" customFormat="false" ht="13.8" hidden="false" customHeight="false" outlineLevel="0" collapsed="false">
      <c r="A861" s="5" t="s">
        <v>17</v>
      </c>
      <c r="B861" s="6" t="n">
        <v>45778</v>
      </c>
      <c r="C861" s="11" t="n">
        <v>45775</v>
      </c>
      <c r="D861" s="11" t="n">
        <v>46140</v>
      </c>
      <c r="E861" s="5" t="s">
        <v>326</v>
      </c>
      <c r="F861" s="8" t="n">
        <v>2000</v>
      </c>
      <c r="G861" s="8" t="n">
        <v>2000</v>
      </c>
      <c r="H861" s="9"/>
      <c r="I861" s="1" t="s">
        <v>327</v>
      </c>
      <c r="J861" s="12" t="n">
        <v>80</v>
      </c>
      <c r="L861" s="1" t="n">
        <f aca="false">IFERROR(G861/J861,"")</f>
        <v>25</v>
      </c>
    </row>
    <row r="862" customFormat="false" ht="13.8" hidden="false" customHeight="false" outlineLevel="0" collapsed="false">
      <c r="A862" s="5" t="s">
        <v>17</v>
      </c>
      <c r="B862" s="6" t="n">
        <v>45778</v>
      </c>
      <c r="C862" s="11" t="n">
        <v>45775</v>
      </c>
      <c r="D862" s="11" t="n">
        <v>46140</v>
      </c>
      <c r="E862" s="5" t="s">
        <v>326</v>
      </c>
      <c r="F862" s="8" t="n">
        <v>1000</v>
      </c>
      <c r="G862" s="8" t="n">
        <v>1000</v>
      </c>
      <c r="H862" s="9"/>
      <c r="I862" s="1" t="s">
        <v>328</v>
      </c>
      <c r="J862" s="12" t="n">
        <v>80</v>
      </c>
      <c r="L862" s="1" t="n">
        <f aca="false">IFERROR(G862/J862,"")</f>
        <v>12.5</v>
      </c>
    </row>
    <row r="863" customFormat="false" ht="13.8" hidden="false" customHeight="false" outlineLevel="0" collapsed="false">
      <c r="A863" s="5" t="s">
        <v>17</v>
      </c>
      <c r="B863" s="6" t="n">
        <v>45778</v>
      </c>
      <c r="C863" s="11" t="n">
        <v>45775</v>
      </c>
      <c r="D863" s="11" t="n">
        <v>46140</v>
      </c>
      <c r="E863" s="5" t="s">
        <v>326</v>
      </c>
      <c r="F863" s="8" t="n">
        <v>999</v>
      </c>
      <c r="G863" s="8" t="n">
        <v>999</v>
      </c>
      <c r="H863" s="9"/>
      <c r="I863" s="1" t="s">
        <v>329</v>
      </c>
      <c r="J863" s="12"/>
      <c r="L863" s="1" t="str">
        <f aca="false">IFERROR(G863/J863,"")</f>
        <v/>
      </c>
    </row>
    <row r="864" customFormat="false" ht="13.8" hidden="false" customHeight="false" outlineLevel="0" collapsed="false">
      <c r="A864" s="5" t="s">
        <v>17</v>
      </c>
      <c r="B864" s="6" t="n">
        <v>45778</v>
      </c>
      <c r="C864" s="11" t="n">
        <v>45775</v>
      </c>
      <c r="D864" s="11" t="n">
        <v>46140</v>
      </c>
      <c r="E864" s="5" t="s">
        <v>326</v>
      </c>
      <c r="F864" s="8" t="n">
        <v>1000</v>
      </c>
      <c r="G864" s="8" t="n">
        <v>1000</v>
      </c>
      <c r="H864" s="9"/>
      <c r="I864" s="1" t="s">
        <v>291</v>
      </c>
      <c r="J864" s="12" t="n">
        <v>80</v>
      </c>
      <c r="L864" s="1" t="n">
        <f aca="false">IFERROR(G864/J864,"")</f>
        <v>12.5</v>
      </c>
    </row>
    <row r="865" customFormat="false" ht="13.8" hidden="false" customHeight="false" outlineLevel="0" collapsed="false">
      <c r="A865" s="5" t="s">
        <v>17</v>
      </c>
      <c r="B865" s="6" t="n">
        <v>45778</v>
      </c>
      <c r="C865" s="11" t="n">
        <v>45743</v>
      </c>
      <c r="D865" s="11" t="n">
        <v>46142</v>
      </c>
      <c r="E865" s="5" t="s">
        <v>196</v>
      </c>
      <c r="F865" s="8" t="n">
        <v>7089</v>
      </c>
      <c r="G865" s="8" t="n">
        <v>5671.2</v>
      </c>
      <c r="H865" s="9"/>
      <c r="J865" s="12" t="n">
        <v>88</v>
      </c>
      <c r="K865" s="1" t="s">
        <v>197</v>
      </c>
      <c r="L865" s="1" t="n">
        <f aca="false">IFERROR(G865/J865,"")</f>
        <v>64.4454545454545</v>
      </c>
    </row>
    <row r="866" customFormat="false" ht="13.8" hidden="false" customHeight="false" outlineLevel="0" collapsed="false">
      <c r="A866" s="5" t="s">
        <v>17</v>
      </c>
      <c r="B866" s="6" t="n">
        <v>45778</v>
      </c>
      <c r="C866" s="11" t="n">
        <v>45743</v>
      </c>
      <c r="D866" s="11" t="n">
        <v>46142</v>
      </c>
      <c r="E866" s="5" t="s">
        <v>196</v>
      </c>
      <c r="F866" s="8" t="n">
        <v>7089</v>
      </c>
      <c r="G866" s="8" t="n">
        <v>5671.2</v>
      </c>
      <c r="H866" s="9"/>
      <c r="J866" s="12" t="n">
        <v>88</v>
      </c>
      <c r="K866" s="1" t="s">
        <v>197</v>
      </c>
      <c r="L866" s="1" t="n">
        <f aca="false">IFERROR(G866/J866,"")</f>
        <v>64.4454545454545</v>
      </c>
    </row>
    <row r="867" customFormat="false" ht="13.8" hidden="false" customHeight="false" outlineLevel="0" collapsed="false">
      <c r="A867" s="5" t="s">
        <v>17</v>
      </c>
      <c r="B867" s="6" t="n">
        <v>45778</v>
      </c>
      <c r="C867" s="11" t="n">
        <v>45800</v>
      </c>
      <c r="D867" s="11" t="n">
        <v>46142</v>
      </c>
      <c r="E867" s="5" t="s">
        <v>330</v>
      </c>
      <c r="F867" s="8" t="n">
        <v>1000</v>
      </c>
      <c r="G867" s="8" t="n">
        <v>1000</v>
      </c>
      <c r="H867" s="9"/>
      <c r="J867" s="12" t="n">
        <v>22</v>
      </c>
      <c r="L867" s="1" t="n">
        <f aca="false">IFERROR(G867/J867,"")</f>
        <v>45.4545454545455</v>
      </c>
    </row>
    <row r="868" customFormat="false" ht="13.8" hidden="false" customHeight="false" outlineLevel="0" collapsed="false">
      <c r="A868" s="1" t="s">
        <v>50</v>
      </c>
      <c r="B868" s="1" t="s">
        <v>245</v>
      </c>
      <c r="C868" s="2" t="n">
        <v>45806</v>
      </c>
      <c r="D868" s="2" t="n">
        <v>46170</v>
      </c>
      <c r="E868" s="1" t="s">
        <v>262</v>
      </c>
      <c r="F868" s="1" t="n">
        <v>2000</v>
      </c>
      <c r="G868" s="3" t="n">
        <v>2000</v>
      </c>
      <c r="H868" s="3"/>
      <c r="I868" s="1" t="s">
        <v>263</v>
      </c>
      <c r="L868" s="1" t="str">
        <f aca="false">IFERROR(G868/J868,"")</f>
        <v/>
      </c>
    </row>
  </sheetData>
  <autoFilter ref="A1:L868"/>
  <conditionalFormatting sqref="D646 A817 C833:D840 A862:A868 C861:D868 A809:A811 C763:D811 D821 A833:A837 D842:D845 C846:D858 A856:A858 A762:A807 A839:A845 A848:A850 A852:A853">
    <cfRule type="expression" priority="2" aboveAverage="0" equalAverage="0" bottom="0" percent="0" rank="0" text="" dxfId="4">
      <formula>#ref!="PORTAL"</formula>
    </cfRule>
    <cfRule type="expression" priority="3" aboveAverage="0" equalAverage="0" bottom="0" percent="0" rank="0" text="" dxfId="5">
      <formula>#ref!="TH+ IN"</formula>
    </cfRule>
    <cfRule type="expression" priority="4" aboveAverage="0" equalAverage="0" bottom="0" percent="0" rank="0" text="" dxfId="6">
      <formula>#ref!="RÁDIO 79"</formula>
    </cfRule>
    <cfRule type="expression" priority="5" aboveAverage="0" equalAverage="0" bottom="0" percent="0" rank="0" text="" dxfId="7">
      <formula>#ref!="TH+"</formula>
    </cfRule>
    <cfRule type="expression" priority="6" aboveAverage="0" equalAverage="0" bottom="0" percent="0" rank="0" text="" dxfId="8">
      <formula>#ref!="NOVA BRASIL"</formula>
    </cfRule>
    <cfRule type="expression" priority="7" aboveAverage="0" equalAverage="0" bottom="0" percent="0" rank="0" text="" dxfId="9">
      <formula>#ref!="DIFUSORA"</formula>
    </cfRule>
  </conditionalFormatting>
  <conditionalFormatting sqref="J646 J831:J839">
    <cfRule type="expression" priority="8" aboveAverage="0" equalAverage="0" bottom="0" percent="0" rank="0" text="" dxfId="10">
      <formula>$D646="PORTAL"</formula>
    </cfRule>
    <cfRule type="expression" priority="9" aboveAverage="0" equalAverage="0" bottom="0" percent="0" rank="0" text="" dxfId="11">
      <formula>$D646="RÁDIO 79"</formula>
    </cfRule>
    <cfRule type="expression" priority="10" aboveAverage="0" equalAverage="0" bottom="0" percent="0" rank="0" text="" dxfId="12">
      <formula>$D646="TH+"</formula>
    </cfRule>
    <cfRule type="expression" priority="11" aboveAverage="0" equalAverage="0" bottom="0" percent="0" rank="0" text="" dxfId="13">
      <formula>$D646="TH+ IN"</formula>
    </cfRule>
    <cfRule type="expression" priority="12" aboveAverage="0" equalAverage="0" bottom="0" percent="0" rank="0" text="" dxfId="14">
      <formula>$D646="NOVA BRASIL"</formula>
    </cfRule>
    <cfRule type="expression" priority="13" aboveAverage="0" equalAverage="0" bottom="0" percent="0" rank="0" text="" dxfId="15">
      <formula>$D646="DIFUSORA"</formula>
    </cfRule>
  </conditionalFormatting>
  <conditionalFormatting sqref="H646 H817 H854:H856 H858 H861:H868 H763:H811 H821 H833:H840 H842:H851">
    <cfRule type="expression" priority="14" aboveAverage="0" equalAverage="0" bottom="0" percent="0" rank="0" text="" dxfId="16">
      <formula>$D646="PORTAL"</formula>
    </cfRule>
    <cfRule type="expression" priority="15" aboveAverage="0" equalAverage="0" bottom="0" percent="0" rank="0" text="" dxfId="17">
      <formula>$D646="TH+ IN"</formula>
    </cfRule>
    <cfRule type="expression" priority="16" aboveAverage="0" equalAverage="0" bottom="0" percent="0" rank="0" text="" dxfId="18">
      <formula>$D646="RÁDIO 79"</formula>
    </cfRule>
    <cfRule type="expression" priority="17" aboveAverage="0" equalAverage="0" bottom="0" percent="0" rank="0" text="" dxfId="19">
      <formula>$D646="TH+"</formula>
    </cfRule>
    <cfRule type="expression" priority="18" aboveAverage="0" equalAverage="0" bottom="0" percent="0" rank="0" text="" dxfId="20">
      <formula>$D646="NOVA BRASIL"</formula>
    </cfRule>
    <cfRule type="expression" priority="19" aboveAverage="0" equalAverage="0" bottom="0" percent="0" rank="0" text="" dxfId="21">
      <formula>$D646="DIFUSORA"</formula>
    </cfRule>
  </conditionalFormatting>
  <conditionalFormatting sqref="H381 H361 H654:H761">
    <cfRule type="expression" priority="20" aboveAverage="0" equalAverage="0" bottom="0" percent="0" rank="0" text="" dxfId="22">
      <formula>$D361="PORTAL"</formula>
    </cfRule>
    <cfRule type="expression" priority="21" aboveAverage="0" equalAverage="0" bottom="0" percent="0" rank="0" text="" dxfId="23">
      <formula>$D361="RÁDIO 79"</formula>
    </cfRule>
    <cfRule type="expression" priority="22" aboveAverage="0" equalAverage="0" bottom="0" percent="0" rank="0" text="" dxfId="24">
      <formula>$D361="TH+"</formula>
    </cfRule>
    <cfRule type="expression" priority="23" aboveAverage="0" equalAverage="0" bottom="0" percent="0" rank="0" text="" dxfId="25">
      <formula>$D361="TH+ IN"</formula>
    </cfRule>
    <cfRule type="expression" priority="24" aboveAverage="0" equalAverage="0" bottom="0" percent="0" rank="0" text="" dxfId="26">
      <formula>$D361="NOVA BRASIL"</formula>
    </cfRule>
    <cfRule type="expression" priority="25" aboveAverage="0" equalAverage="0" bottom="0" percent="0" rank="0" text="" dxfId="27">
      <formula>$D361="DIFUSORA"</formula>
    </cfRule>
  </conditionalFormatting>
  <conditionalFormatting sqref="A811:A816 A677:A761 A818:A820 A825:A832 A654:A669 A671 A674:A675 A822:A823">
    <cfRule type="expression" priority="26" aboveAverage="0" equalAverage="0" bottom="0" percent="0" rank="0" text="" dxfId="28">
      <formula>#ref!="PORTAL"</formula>
    </cfRule>
    <cfRule type="expression" priority="27" aboveAverage="0" equalAverage="0" bottom="0" percent="0" rank="0" text="" dxfId="29">
      <formula>#ref!="RÁDIO 79"</formula>
    </cfRule>
    <cfRule type="expression" priority="28" aboveAverage="0" equalAverage="0" bottom="0" percent="0" rank="0" text="" dxfId="30">
      <formula>#ref!="TH+"</formula>
    </cfRule>
    <cfRule type="expression" priority="29" aboveAverage="0" equalAverage="0" bottom="0" percent="0" rank="0" text="" dxfId="31">
      <formula>#ref!="TH+ IN"</formula>
    </cfRule>
    <cfRule type="expression" priority="30" aboveAverage="0" equalAverage="0" bottom="0" percent="0" rank="0" text="" dxfId="32">
      <formula>#ref!="NOVA BRASIL"</formula>
    </cfRule>
    <cfRule type="expression" priority="31" aboveAverage="0" equalAverage="0" bottom="0" percent="0" rank="0" text="" dxfId="33">
      <formula>#ref!="DIFUSORA"</formula>
    </cfRule>
  </conditionalFormatting>
  <conditionalFormatting sqref="E654:E761">
    <cfRule type="expression" priority="32" aboveAverage="0" equalAverage="0" bottom="0" percent="0" rank="0" text="" dxfId="34">
      <formula>$D654="PORTAL"</formula>
    </cfRule>
    <cfRule type="expression" priority="33" aboveAverage="0" equalAverage="0" bottom="0" percent="0" rank="0" text="" dxfId="35">
      <formula>$D654="RÁDIO 79"</formula>
    </cfRule>
    <cfRule type="expression" priority="34" aboveAverage="0" equalAverage="0" bottom="0" percent="0" rank="0" text="" dxfId="36">
      <formula>$D654="TH+"</formula>
    </cfRule>
    <cfRule type="expression" priority="35" aboveAverage="0" equalAverage="0" bottom="0" percent="0" rank="0" text="" dxfId="37">
      <formula>$D654="TH+ IN"</formula>
    </cfRule>
    <cfRule type="expression" priority="36" aboveAverage="0" equalAverage="0" bottom="0" percent="0" rank="0" text="" dxfId="38">
      <formula>$D654="NOVA BRASIL"</formula>
    </cfRule>
    <cfRule type="expression" priority="37" aboveAverage="0" equalAverage="0" bottom="0" percent="0" rank="0" text="" dxfId="39">
      <formula>$D654="DIFUSORA"</formula>
    </cfRule>
  </conditionalFormatting>
  <conditionalFormatting sqref="I751:I761 I654:I749">
    <cfRule type="expression" priority="38" aboveAverage="0" equalAverage="0" bottom="0" percent="0" rank="0" text="" dxfId="40">
      <formula>$D654="PORTAL"</formula>
    </cfRule>
    <cfRule type="expression" priority="39" aboveAverage="0" equalAverage="0" bottom="0" percent="0" rank="0" text="" dxfId="41">
      <formula>$D654="RÁDIO 79"</formula>
    </cfRule>
    <cfRule type="expression" priority="40" aboveAverage="0" equalAverage="0" bottom="0" percent="0" rank="0" text="" dxfId="42">
      <formula>$D654="TH+"</formula>
    </cfRule>
    <cfRule type="expression" priority="41" aboveAverage="0" equalAverage="0" bottom="0" percent="0" rank="0" text="" dxfId="43">
      <formula>$D654="TH+ IN"</formula>
    </cfRule>
    <cfRule type="expression" priority="42" aboveAverage="0" equalAverage="0" bottom="0" percent="0" rank="0" text="" dxfId="44">
      <formula>$D654="NOVA BRASIL"</formula>
    </cfRule>
    <cfRule type="expression" priority="43" aboveAverage="0" equalAverage="0" bottom="0" percent="0" rank="0" text="" dxfId="45">
      <formula>$D654="DIFUSORA"</formula>
    </cfRule>
  </conditionalFormatting>
  <conditionalFormatting sqref="K713:K761 K654:K711">
    <cfRule type="expression" priority="44" aboveAverage="0" equalAverage="0" bottom="0" percent="0" rank="0" text="" dxfId="46">
      <formula>$D654="PORTAL"</formula>
    </cfRule>
    <cfRule type="expression" priority="45" aboveAverage="0" equalAverage="0" bottom="0" percent="0" rank="0" text="" dxfId="47">
      <formula>$D654="RÁDIO 79"</formula>
    </cfRule>
    <cfRule type="expression" priority="46" aboveAverage="0" equalAverage="0" bottom="0" percent="0" rank="0" text="" dxfId="48">
      <formula>$D654="TH+"</formula>
    </cfRule>
    <cfRule type="expression" priority="47" aboveAverage="0" equalAverage="0" bottom="0" percent="0" rank="0" text="" dxfId="49">
      <formula>$D654="TH+ IN"</formula>
    </cfRule>
    <cfRule type="expression" priority="48" aboveAverage="0" equalAverage="0" bottom="0" percent="0" rank="0" text="" dxfId="50">
      <formula>$D654="NOVA BRASIL"</formula>
    </cfRule>
    <cfRule type="expression" priority="49" aboveAverage="0" equalAverage="0" bottom="0" percent="0" rank="0" text="" dxfId="51">
      <formula>$D654="DIFUSORA"</formula>
    </cfRule>
  </conditionalFormatting>
  <conditionalFormatting sqref="K712">
    <cfRule type="expression" priority="50" aboveAverage="0" equalAverage="0" bottom="0" percent="0" rank="0" text="" dxfId="52">
      <formula>$D712="PORTAL"</formula>
    </cfRule>
    <cfRule type="expression" priority="51" aboveAverage="0" equalAverage="0" bottom="0" percent="0" rank="0" text="" dxfId="53">
      <formula>$D712="TH+ IN"</formula>
    </cfRule>
    <cfRule type="expression" priority="52" aboveAverage="0" equalAverage="0" bottom="0" percent="0" rank="0" text="" dxfId="54">
      <formula>$D712="RÁDIO 79"</formula>
    </cfRule>
    <cfRule type="expression" priority="53" aboveAverage="0" equalAverage="0" bottom="0" percent="0" rank="0" text="" dxfId="55">
      <formula>$D712="TH+"</formula>
    </cfRule>
    <cfRule type="expression" priority="54" aboveAverage="0" equalAverage="0" bottom="0" percent="0" rank="0" text="" dxfId="56">
      <formula>$D712="NOVA BRASIL"</formula>
    </cfRule>
    <cfRule type="expression" priority="55" aboveAverage="0" equalAverage="0" bottom="0" percent="0" rank="0" text="" dxfId="57">
      <formula>$D712="DIFUSORA"</formula>
    </cfRule>
  </conditionalFormatting>
  <conditionalFormatting sqref="E762">
    <cfRule type="expression" priority="56" aboveAverage="0" equalAverage="0" bottom="0" percent="0" rank="0" text="" dxfId="58">
      <formula>$D762="PORTAL"</formula>
    </cfRule>
    <cfRule type="expression" priority="57" aboveAverage="0" equalAverage="0" bottom="0" percent="0" rank="0" text="" dxfId="59">
      <formula>$D762="TH+ IN"</formula>
    </cfRule>
    <cfRule type="expression" priority="58" aboveAverage="0" equalAverage="0" bottom="0" percent="0" rank="0" text="" dxfId="60">
      <formula>$D762="RÁDIO 79"</formula>
    </cfRule>
    <cfRule type="expression" priority="59" aboveAverage="0" equalAverage="0" bottom="0" percent="0" rank="0" text="" dxfId="61">
      <formula>$D762="TH+"</formula>
    </cfRule>
    <cfRule type="expression" priority="60" aboveAverage="0" equalAverage="0" bottom="0" percent="0" rank="0" text="" dxfId="62">
      <formula>$D762="NOVA BRASIL"</formula>
    </cfRule>
    <cfRule type="expression" priority="61" aboveAverage="0" equalAverage="0" bottom="0" percent="0" rank="0" text="" dxfId="63">
      <formula>$D762="DIFUSORA"</formula>
    </cfRule>
  </conditionalFormatting>
  <conditionalFormatting sqref="H762">
    <cfRule type="expression" priority="62" aboveAverage="0" equalAverage="0" bottom="0" percent="0" rank="0" text="" dxfId="64">
      <formula>$D762="PORTAL"</formula>
    </cfRule>
    <cfRule type="expression" priority="63" aboveAverage="0" equalAverage="0" bottom="0" percent="0" rank="0" text="" dxfId="65">
      <formula>$D762="TH+ IN"</formula>
    </cfRule>
    <cfRule type="expression" priority="64" aboveAverage="0" equalAverage="0" bottom="0" percent="0" rank="0" text="" dxfId="66">
      <formula>$D762="RÁDIO 79"</formula>
    </cfRule>
    <cfRule type="expression" priority="65" aboveAverage="0" equalAverage="0" bottom="0" percent="0" rank="0" text="" dxfId="67">
      <formula>$D762="TH+"</formula>
    </cfRule>
    <cfRule type="expression" priority="66" aboveAverage="0" equalAverage="0" bottom="0" percent="0" rank="0" text="" dxfId="68">
      <formula>$D762="NOVA BRASIL"</formula>
    </cfRule>
    <cfRule type="expression" priority="67" aboveAverage="0" equalAverage="0" bottom="0" percent="0" rank="0" text="" dxfId="69">
      <formula>$D762="DIFUSORA"</formula>
    </cfRule>
  </conditionalFormatting>
  <conditionalFormatting sqref="I750">
    <cfRule type="expression" priority="68" aboveAverage="0" equalAverage="0" bottom="0" percent="0" rank="0" text="" dxfId="70">
      <formula>$D750="PORTAL"</formula>
    </cfRule>
    <cfRule type="expression" priority="69" aboveAverage="0" equalAverage="0" bottom="0" percent="0" rank="0" text="" dxfId="71">
      <formula>$D750="RÁDIO 79"</formula>
    </cfRule>
    <cfRule type="expression" priority="70" aboveAverage="0" equalAverage="0" bottom="0" percent="0" rank="0" text="" dxfId="72">
      <formula>$D750="TH+"</formula>
    </cfRule>
    <cfRule type="expression" priority="71" aboveAverage="0" equalAverage="0" bottom="0" percent="0" rank="0" text="" dxfId="73">
      <formula>$D750="TH+ IN"</formula>
    </cfRule>
    <cfRule type="expression" priority="72" aboveAverage="0" equalAverage="0" bottom="0" percent="0" rank="0" text="" dxfId="74">
      <formula>$D750="NOVA BRASIL"</formula>
    </cfRule>
    <cfRule type="expression" priority="73" aboveAverage="0" equalAverage="0" bottom="0" percent="0" rank="0" text="" dxfId="75">
      <formula>$D750="DIFUSORA"</formula>
    </cfRule>
  </conditionalFormatting>
  <conditionalFormatting sqref="I762">
    <cfRule type="expression" priority="74" aboveAverage="0" equalAverage="0" bottom="0" percent="0" rank="0" text="" dxfId="76">
      <formula>$D762="PORTAL"</formula>
    </cfRule>
    <cfRule type="expression" priority="75" aboveAverage="0" equalAverage="0" bottom="0" percent="0" rank="0" text="" dxfId="77">
      <formula>$D762="RÁDIO 79"</formula>
    </cfRule>
    <cfRule type="expression" priority="76" aboveAverage="0" equalAverage="0" bottom="0" percent="0" rank="0" text="" dxfId="78">
      <formula>$D762="TH+"</formula>
    </cfRule>
    <cfRule type="expression" priority="77" aboveAverage="0" equalAverage="0" bottom="0" percent="0" rank="0" text="" dxfId="79">
      <formula>$D762="TH+ IN"</formula>
    </cfRule>
    <cfRule type="expression" priority="78" aboveAverage="0" equalAverage="0" bottom="0" percent="0" rank="0" text="" dxfId="80">
      <formula>$D762="NOVA BRASIL"</formula>
    </cfRule>
    <cfRule type="expression" priority="79" aboveAverage="0" equalAverage="0" bottom="0" percent="0" rank="0" text="" dxfId="81">
      <formula>$D762="DIFUSORA"</formula>
    </cfRule>
  </conditionalFormatting>
  <conditionalFormatting sqref="K762">
    <cfRule type="expression" priority="80" aboveAverage="0" equalAverage="0" bottom="0" percent="0" rank="0" text="" dxfId="82">
      <formula>$D762="PORTAL"</formula>
    </cfRule>
    <cfRule type="expression" priority="81" aboveAverage="0" equalAverage="0" bottom="0" percent="0" rank="0" text="" dxfId="83">
      <formula>$D762="TH+ IN"</formula>
    </cfRule>
    <cfRule type="expression" priority="82" aboveAverage="0" equalAverage="0" bottom="0" percent="0" rank="0" text="" dxfId="84">
      <formula>$D762="RÁDIO 79"</formula>
    </cfRule>
    <cfRule type="expression" priority="83" aboveAverage="0" equalAverage="0" bottom="0" percent="0" rank="0" text="" dxfId="85">
      <formula>$D762="TH+"</formula>
    </cfRule>
    <cfRule type="expression" priority="84" aboveAverage="0" equalAverage="0" bottom="0" percent="0" rank="0" text="" dxfId="86">
      <formula>$D762="NOVA BRASIL"</formula>
    </cfRule>
    <cfRule type="expression" priority="85" aboveAverage="0" equalAverage="0" bottom="0" percent="0" rank="0" text="" dxfId="87">
      <formula>$D762="DIFUSORA"</formula>
    </cfRule>
  </conditionalFormatting>
  <conditionalFormatting sqref="E817 E861:E868 E763:E811 E821 E833:E840 E842:E858">
    <cfRule type="expression" priority="86" aboveAverage="0" equalAverage="0" bottom="0" percent="0" rank="0" text="" dxfId="88">
      <formula>$D763="PORTAL"</formula>
    </cfRule>
    <cfRule type="expression" priority="87" aboveAverage="0" equalAverage="0" bottom="0" percent="0" rank="0" text="" dxfId="89">
      <formula>$D763="TH+ IN"</formula>
    </cfRule>
    <cfRule type="expression" priority="88" aboveAverage="0" equalAverage="0" bottom="0" percent="0" rank="0" text="" dxfId="90">
      <formula>$D763="RÁDIO 79"</formula>
    </cfRule>
    <cfRule type="expression" priority="89" aboveAverage="0" equalAverage="0" bottom="0" percent="0" rank="0" text="" dxfId="91">
      <formula>$D763="TH+"</formula>
    </cfRule>
    <cfRule type="expression" priority="90" aboveAverage="0" equalAverage="0" bottom="0" percent="0" rank="0" text="" dxfId="92">
      <formula>$D763="NOVA BRASIL"</formula>
    </cfRule>
    <cfRule type="expression" priority="91" aboveAverage="0" equalAverage="0" bottom="0" percent="0" rank="0" text="" dxfId="93">
      <formula>$D763="DIFUSORA"</formula>
    </cfRule>
  </conditionalFormatting>
  <conditionalFormatting sqref="J817 J861:J868 J763:J811 J842:J857">
    <cfRule type="expression" priority="92" aboveAverage="0" equalAverage="0" bottom="0" percent="0" rank="0" text="" dxfId="94">
      <formula>$D763="PORTAL"</formula>
    </cfRule>
    <cfRule type="expression" priority="93" aboveAverage="0" equalAverage="0" bottom="0" percent="0" rank="0" text="" dxfId="95">
      <formula>$D763="TH+ IN"</formula>
    </cfRule>
    <cfRule type="expression" priority="94" aboveAverage="0" equalAverage="0" bottom="0" percent="0" rank="0" text="" dxfId="96">
      <formula>$D763="RÁDIO 79"</formula>
    </cfRule>
    <cfRule type="expression" priority="95" aboveAverage="0" equalAverage="0" bottom="0" percent="0" rank="0" text="" dxfId="97">
      <formula>$D763="TH+"</formula>
    </cfRule>
    <cfRule type="expression" priority="96" aboveAverage="0" equalAverage="0" bottom="0" percent="0" rank="0" text="" dxfId="98">
      <formula>$D763="NOVA BRASIL"</formula>
    </cfRule>
    <cfRule type="expression" priority="97" aboveAverage="0" equalAverage="0" bottom="0" percent="0" rank="0" text="" dxfId="99">
      <formula>$D763="DIFUSORA"</formula>
    </cfRule>
  </conditionalFormatting>
  <conditionalFormatting sqref="C817">
    <cfRule type="expression" priority="98" aboveAverage="0" equalAverage="0" bottom="0" percent="0" rank="0" text="" dxfId="100">
      <formula>#ref!="PORTAL"</formula>
    </cfRule>
    <cfRule type="expression" priority="99" aboveAverage="0" equalAverage="0" bottom="0" percent="0" rank="0" text="" dxfId="101">
      <formula>#ref!="TH+ IN"</formula>
    </cfRule>
    <cfRule type="expression" priority="100" aboveAverage="0" equalAverage="0" bottom="0" percent="0" rank="0" text="" dxfId="102">
      <formula>#ref!="RÁDIO 79"</formula>
    </cfRule>
    <cfRule type="expression" priority="101" aboveAverage="0" equalAverage="0" bottom="0" percent="0" rank="0" text="" dxfId="103">
      <formula>#ref!="TH+"</formula>
    </cfRule>
    <cfRule type="expression" priority="102" aboveAverage="0" equalAverage="0" bottom="0" percent="0" rank="0" text="" dxfId="104">
      <formula>#ref!="NOVA BRASIL"</formula>
    </cfRule>
    <cfRule type="expression" priority="103" aboveAverage="0" equalAverage="0" bottom="0" percent="0" rank="0" text="" dxfId="105">
      <formula>#ref!="DIFUSORA"</formula>
    </cfRule>
  </conditionalFormatting>
  <conditionalFormatting sqref="C812">
    <cfRule type="expression" priority="104" aboveAverage="0" equalAverage="0" bottom="0" percent="0" rank="0" text="" dxfId="106">
      <formula>#ref!="PORTAL"</formula>
    </cfRule>
    <cfRule type="expression" priority="105" aboveAverage="0" equalAverage="0" bottom="0" percent="0" rank="0" text="" dxfId="107">
      <formula>#ref!="RÁDIO 79"</formula>
    </cfRule>
    <cfRule type="expression" priority="106" aboveAverage="0" equalAverage="0" bottom="0" percent="0" rank="0" text="" dxfId="108">
      <formula>#ref!="TH+"</formula>
    </cfRule>
    <cfRule type="expression" priority="107" aboveAverage="0" equalAverage="0" bottom="0" percent="0" rank="0" text="" dxfId="109">
      <formula>#ref!="TH+ IN"</formula>
    </cfRule>
    <cfRule type="expression" priority="108" aboveAverage="0" equalAverage="0" bottom="0" percent="0" rank="0" text="" dxfId="110">
      <formula>#ref!="NOVA BRASIL"</formula>
    </cfRule>
    <cfRule type="expression" priority="109" aboveAverage="0" equalAverage="0" bottom="0" percent="0" rank="0" text="" dxfId="111">
      <formula>#ref!="DIFUSORA"</formula>
    </cfRule>
  </conditionalFormatting>
  <conditionalFormatting sqref="C813">
    <cfRule type="expression" priority="110" aboveAverage="0" equalAverage="0" bottom="0" percent="0" rank="0" text="" dxfId="112">
      <formula>#ref!="PORTAL"</formula>
    </cfRule>
    <cfRule type="expression" priority="111" aboveAverage="0" equalAverage="0" bottom="0" percent="0" rank="0" text="" dxfId="113">
      <formula>#ref!="RÁDIO 79"</formula>
    </cfRule>
    <cfRule type="expression" priority="112" aboveAverage="0" equalAverage="0" bottom="0" percent="0" rank="0" text="" dxfId="114">
      <formula>#ref!="TH+"</formula>
    </cfRule>
    <cfRule type="expression" priority="113" aboveAverage="0" equalAverage="0" bottom="0" percent="0" rank="0" text="" dxfId="115">
      <formula>#ref!="TH+ IN"</formula>
    </cfRule>
    <cfRule type="expression" priority="114" aboveAverage="0" equalAverage="0" bottom="0" percent="0" rank="0" text="" dxfId="116">
      <formula>#ref!="NOVA BRASIL"</formula>
    </cfRule>
    <cfRule type="expression" priority="115" aboveAverage="0" equalAverage="0" bottom="0" percent="0" rank="0" text="" dxfId="117">
      <formula>#ref!="DIFUSORA"</formula>
    </cfRule>
  </conditionalFormatting>
  <conditionalFormatting sqref="C811">
    <cfRule type="expression" priority="116" aboveAverage="0" equalAverage="0" bottom="0" percent="0" rank="0" text="" dxfId="118">
      <formula>#ref!="PORTAL"</formula>
    </cfRule>
    <cfRule type="expression" priority="117" aboveAverage="0" equalAverage="0" bottom="0" percent="0" rank="0" text="" dxfId="119">
      <formula>#ref!="RÁDIO 79"</formula>
    </cfRule>
    <cfRule type="expression" priority="118" aboveAverage="0" equalAverage="0" bottom="0" percent="0" rank="0" text="" dxfId="120">
      <formula>#ref!="TH+"</formula>
    </cfRule>
    <cfRule type="expression" priority="119" aboveAverage="0" equalAverage="0" bottom="0" percent="0" rank="0" text="" dxfId="121">
      <formula>#ref!="TH+ IN"</formula>
    </cfRule>
    <cfRule type="expression" priority="120" aboveAverage="0" equalAverage="0" bottom="0" percent="0" rank="0" text="" dxfId="122">
      <formula>#ref!="NOVA BRASIL"</formula>
    </cfRule>
    <cfRule type="expression" priority="121" aboveAverage="0" equalAverage="0" bottom="0" percent="0" rank="0" text="" dxfId="123">
      <formula>#ref!="DIFUSORA"</formula>
    </cfRule>
  </conditionalFormatting>
  <conditionalFormatting sqref="C812">
    <cfRule type="expression" priority="122" aboveAverage="0" equalAverage="0" bottom="0" percent="0" rank="0" text="" dxfId="124">
      <formula>#ref!="PORTAL"</formula>
    </cfRule>
    <cfRule type="expression" priority="123" aboveAverage="0" equalAverage="0" bottom="0" percent="0" rank="0" text="" dxfId="125">
      <formula>#ref!="RÁDIO 79"</formula>
    </cfRule>
    <cfRule type="expression" priority="124" aboveAverage="0" equalAverage="0" bottom="0" percent="0" rank="0" text="" dxfId="126">
      <formula>#ref!="TH+"</formula>
    </cfRule>
    <cfRule type="expression" priority="125" aboveAverage="0" equalAverage="0" bottom="0" percent="0" rank="0" text="" dxfId="127">
      <formula>#ref!="TH+ IN"</formula>
    </cfRule>
    <cfRule type="expression" priority="126" aboveAverage="0" equalAverage="0" bottom="0" percent="0" rank="0" text="" dxfId="128">
      <formula>#ref!="NOVA BRASIL"</formula>
    </cfRule>
    <cfRule type="expression" priority="127" aboveAverage="0" equalAverage="0" bottom="0" percent="0" rank="0" text="" dxfId="129">
      <formula>#ref!="DIFUSORA"</formula>
    </cfRule>
  </conditionalFormatting>
  <conditionalFormatting sqref="C813">
    <cfRule type="expression" priority="128" aboveAverage="0" equalAverage="0" bottom="0" percent="0" rank="0" text="" dxfId="130">
      <formula>#ref!="PORTAL"</formula>
    </cfRule>
    <cfRule type="expression" priority="129" aboveAverage="0" equalAverage="0" bottom="0" percent="0" rank="0" text="" dxfId="131">
      <formula>#ref!="RÁDIO 79"</formula>
    </cfRule>
    <cfRule type="expression" priority="130" aboveAverage="0" equalAverage="0" bottom="0" percent="0" rank="0" text="" dxfId="132">
      <formula>#ref!="TH+"</formula>
    </cfRule>
    <cfRule type="expression" priority="131" aboveAverage="0" equalAverage="0" bottom="0" percent="0" rank="0" text="" dxfId="133">
      <formula>#ref!="TH+ IN"</formula>
    </cfRule>
    <cfRule type="expression" priority="132" aboveAverage="0" equalAverage="0" bottom="0" percent="0" rank="0" text="" dxfId="134">
      <formula>#ref!="NOVA BRASIL"</formula>
    </cfRule>
    <cfRule type="expression" priority="133" aboveAverage="0" equalAverage="0" bottom="0" percent="0" rank="0" text="" dxfId="135">
      <formula>#ref!="DIFUSORA"</formula>
    </cfRule>
  </conditionalFormatting>
  <conditionalFormatting sqref="C814">
    <cfRule type="expression" priority="134" aboveAverage="0" equalAverage="0" bottom="0" percent="0" rank="0" text="" dxfId="136">
      <formula>#ref!="PORTAL"</formula>
    </cfRule>
    <cfRule type="expression" priority="135" aboveAverage="0" equalAverage="0" bottom="0" percent="0" rank="0" text="" dxfId="137">
      <formula>#ref!="RÁDIO 79"</formula>
    </cfRule>
    <cfRule type="expression" priority="136" aboveAverage="0" equalAverage="0" bottom="0" percent="0" rank="0" text="" dxfId="138">
      <formula>#ref!="TH+"</formula>
    </cfRule>
    <cfRule type="expression" priority="137" aboveAverage="0" equalAverage="0" bottom="0" percent="0" rank="0" text="" dxfId="139">
      <formula>#ref!="TH+ IN"</formula>
    </cfRule>
    <cfRule type="expression" priority="138" aboveAverage="0" equalAverage="0" bottom="0" percent="0" rank="0" text="" dxfId="140">
      <formula>#ref!="NOVA BRASIL"</formula>
    </cfRule>
    <cfRule type="expression" priority="139" aboveAverage="0" equalAverage="0" bottom="0" percent="0" rank="0" text="" dxfId="141">
      <formula>#ref!="DIFUSORA"</formula>
    </cfRule>
  </conditionalFormatting>
  <conditionalFormatting sqref="C815">
    <cfRule type="expression" priority="140" aboveAverage="0" equalAverage="0" bottom="0" percent="0" rank="0" text="" dxfId="142">
      <formula>#ref!="PORTAL"</formula>
    </cfRule>
    <cfRule type="expression" priority="141" aboveAverage="0" equalAverage="0" bottom="0" percent="0" rank="0" text="" dxfId="143">
      <formula>#ref!="RÁDIO 79"</formula>
    </cfRule>
    <cfRule type="expression" priority="142" aboveAverage="0" equalAverage="0" bottom="0" percent="0" rank="0" text="" dxfId="144">
      <formula>#ref!="TH+"</formula>
    </cfRule>
    <cfRule type="expression" priority="143" aboveAverage="0" equalAverage="0" bottom="0" percent="0" rank="0" text="" dxfId="145">
      <formula>#ref!="TH+ IN"</formula>
    </cfRule>
    <cfRule type="expression" priority="144" aboveAverage="0" equalAverage="0" bottom="0" percent="0" rank="0" text="" dxfId="146">
      <formula>#ref!="NOVA BRASIL"</formula>
    </cfRule>
    <cfRule type="expression" priority="145" aboveAverage="0" equalAverage="0" bottom="0" percent="0" rank="0" text="" dxfId="147">
      <formula>#ref!="DIFUSORA"</formula>
    </cfRule>
  </conditionalFormatting>
  <conditionalFormatting sqref="C816">
    <cfRule type="expression" priority="146" aboveAverage="0" equalAverage="0" bottom="0" percent="0" rank="0" text="" dxfId="148">
      <formula>#ref!="PORTAL"</formula>
    </cfRule>
    <cfRule type="expression" priority="147" aboveAverage="0" equalAverage="0" bottom="0" percent="0" rank="0" text="" dxfId="149">
      <formula>#ref!="RÁDIO 79"</formula>
    </cfRule>
    <cfRule type="expression" priority="148" aboveAverage="0" equalAverage="0" bottom="0" percent="0" rank="0" text="" dxfId="150">
      <formula>#ref!="TH+"</formula>
    </cfRule>
    <cfRule type="expression" priority="149" aboveAverage="0" equalAverage="0" bottom="0" percent="0" rank="0" text="" dxfId="151">
      <formula>#ref!="TH+ IN"</formula>
    </cfRule>
    <cfRule type="expression" priority="150" aboveAverage="0" equalAverage="0" bottom="0" percent="0" rank="0" text="" dxfId="152">
      <formula>#ref!="NOVA BRASIL"</formula>
    </cfRule>
    <cfRule type="expression" priority="151" aboveAverage="0" equalAverage="0" bottom="0" percent="0" rank="0" text="" dxfId="153">
      <formula>#ref!="DIFUSORA"</formula>
    </cfRule>
  </conditionalFormatting>
  <conditionalFormatting sqref="C818">
    <cfRule type="expression" priority="152" aboveAverage="0" equalAverage="0" bottom="0" percent="0" rank="0" text="" dxfId="154">
      <formula>#ref!="PORTAL"</formula>
    </cfRule>
    <cfRule type="expression" priority="153" aboveAverage="0" equalAverage="0" bottom="0" percent="0" rank="0" text="" dxfId="155">
      <formula>#ref!="RÁDIO 79"</formula>
    </cfRule>
    <cfRule type="expression" priority="154" aboveAverage="0" equalAverage="0" bottom="0" percent="0" rank="0" text="" dxfId="156">
      <formula>#ref!="TH+"</formula>
    </cfRule>
    <cfRule type="expression" priority="155" aboveAverage="0" equalAverage="0" bottom="0" percent="0" rank="0" text="" dxfId="157">
      <formula>#ref!="TH+ IN"</formula>
    </cfRule>
    <cfRule type="expression" priority="156" aboveAverage="0" equalAverage="0" bottom="0" percent="0" rank="0" text="" dxfId="158">
      <formula>#ref!="NOVA BRASIL"</formula>
    </cfRule>
    <cfRule type="expression" priority="157" aboveAverage="0" equalAverage="0" bottom="0" percent="0" rank="0" text="" dxfId="159">
      <formula>#ref!="DIFUSORA"</formula>
    </cfRule>
  </conditionalFormatting>
  <conditionalFormatting sqref="C819">
    <cfRule type="expression" priority="158" aboveAverage="0" equalAverage="0" bottom="0" percent="0" rank="0" text="" dxfId="160">
      <formula>#ref!="PORTAL"</formula>
    </cfRule>
    <cfRule type="expression" priority="159" aboveAverage="0" equalAverage="0" bottom="0" percent="0" rank="0" text="" dxfId="161">
      <formula>#ref!="RÁDIO 79"</formula>
    </cfRule>
    <cfRule type="expression" priority="160" aboveAverage="0" equalAverage="0" bottom="0" percent="0" rank="0" text="" dxfId="162">
      <formula>#ref!="TH+"</formula>
    </cfRule>
    <cfRule type="expression" priority="161" aboveAverage="0" equalAverage="0" bottom="0" percent="0" rank="0" text="" dxfId="163">
      <formula>#ref!="TH+ IN"</formula>
    </cfRule>
    <cfRule type="expression" priority="162" aboveAverage="0" equalAverage="0" bottom="0" percent="0" rank="0" text="" dxfId="164">
      <formula>#ref!="NOVA BRASIL"</formula>
    </cfRule>
    <cfRule type="expression" priority="163" aboveAverage="0" equalAverage="0" bottom="0" percent="0" rank="0" text="" dxfId="165">
      <formula>#ref!="DIFUSORA"</formula>
    </cfRule>
  </conditionalFormatting>
  <conditionalFormatting sqref="C820">
    <cfRule type="expression" priority="164" aboveAverage="0" equalAverage="0" bottom="0" percent="0" rank="0" text="" dxfId="166">
      <formula>#ref!="PORTAL"</formula>
    </cfRule>
    <cfRule type="expression" priority="165" aboveAverage="0" equalAverage="0" bottom="0" percent="0" rank="0" text="" dxfId="167">
      <formula>#ref!="RÁDIO 79"</formula>
    </cfRule>
    <cfRule type="expression" priority="166" aboveAverage="0" equalAverage="0" bottom="0" percent="0" rank="0" text="" dxfId="168">
      <formula>#ref!="TH+"</formula>
    </cfRule>
    <cfRule type="expression" priority="167" aboveAverage="0" equalAverage="0" bottom="0" percent="0" rank="0" text="" dxfId="169">
      <formula>#ref!="TH+ IN"</formula>
    </cfRule>
    <cfRule type="expression" priority="168" aboveAverage="0" equalAverage="0" bottom="0" percent="0" rank="0" text="" dxfId="170">
      <formula>#ref!="NOVA BRASIL"</formula>
    </cfRule>
    <cfRule type="expression" priority="169" aboveAverage="0" equalAverage="0" bottom="0" percent="0" rank="0" text="" dxfId="171">
      <formula>#ref!="DIFUSORA"</formula>
    </cfRule>
  </conditionalFormatting>
  <conditionalFormatting sqref="C822:C823">
    <cfRule type="expression" priority="170" aboveAverage="0" equalAverage="0" bottom="0" percent="0" rank="0" text="" dxfId="172">
      <formula>#ref!="PORTAL"</formula>
    </cfRule>
    <cfRule type="expression" priority="171" aboveAverage="0" equalAverage="0" bottom="0" percent="0" rank="0" text="" dxfId="173">
      <formula>#ref!="RÁDIO 79"</formula>
    </cfRule>
    <cfRule type="expression" priority="172" aboveAverage="0" equalAverage="0" bottom="0" percent="0" rank="0" text="" dxfId="174">
      <formula>#ref!="TH+"</formula>
    </cfRule>
    <cfRule type="expression" priority="173" aboveAverage="0" equalAverage="0" bottom="0" percent="0" rank="0" text="" dxfId="175">
      <formula>#ref!="TH+ IN"</formula>
    </cfRule>
    <cfRule type="expression" priority="174" aboveAverage="0" equalAverage="0" bottom="0" percent="0" rank="0" text="" dxfId="176">
      <formula>#ref!="NOVA BRASIL"</formula>
    </cfRule>
    <cfRule type="expression" priority="175" aboveAverage="0" equalAverage="0" bottom="0" percent="0" rank="0" text="" dxfId="177">
      <formula>#ref!="DIFUSORA"</formula>
    </cfRule>
  </conditionalFormatting>
  <conditionalFormatting sqref="C825:C828">
    <cfRule type="expression" priority="176" aboveAverage="0" equalAverage="0" bottom="0" percent="0" rank="0" text="" dxfId="178">
      <formula>#ref!="PORTAL"</formula>
    </cfRule>
    <cfRule type="expression" priority="177" aboveAverage="0" equalAverage="0" bottom="0" percent="0" rank="0" text="" dxfId="179">
      <formula>#ref!="RÁDIO 79"</formula>
    </cfRule>
    <cfRule type="expression" priority="178" aboveAverage="0" equalAverage="0" bottom="0" percent="0" rank="0" text="" dxfId="180">
      <formula>#ref!="TH+"</formula>
    </cfRule>
    <cfRule type="expression" priority="179" aboveAverage="0" equalAverage="0" bottom="0" percent="0" rank="0" text="" dxfId="181">
      <formula>#ref!="TH+ IN"</formula>
    </cfRule>
    <cfRule type="expression" priority="180" aboveAverage="0" equalAverage="0" bottom="0" percent="0" rank="0" text="" dxfId="182">
      <formula>#ref!="NOVA BRASIL"</formula>
    </cfRule>
    <cfRule type="expression" priority="181" aboveAverage="0" equalAverage="0" bottom="0" percent="0" rank="0" text="" dxfId="183">
      <formula>#ref!="DIFUSORA"</formula>
    </cfRule>
  </conditionalFormatting>
  <conditionalFormatting sqref="C829">
    <cfRule type="expression" priority="182" aboveAverage="0" equalAverage="0" bottom="0" percent="0" rank="0" text="" dxfId="184">
      <formula>#ref!="PORTAL"</formula>
    </cfRule>
    <cfRule type="expression" priority="183" aboveAverage="0" equalAverage="0" bottom="0" percent="0" rank="0" text="" dxfId="185">
      <formula>#ref!="RÁDIO 79"</formula>
    </cfRule>
    <cfRule type="expression" priority="184" aboveAverage="0" equalAverage="0" bottom="0" percent="0" rank="0" text="" dxfId="186">
      <formula>#ref!="TH+"</formula>
    </cfRule>
    <cfRule type="expression" priority="185" aboveAverage="0" equalAverage="0" bottom="0" percent="0" rank="0" text="" dxfId="187">
      <formula>#ref!="TH+ IN"</formula>
    </cfRule>
    <cfRule type="expression" priority="186" aboveAverage="0" equalAverage="0" bottom="0" percent="0" rank="0" text="" dxfId="188">
      <formula>#ref!="NOVA BRASIL"</formula>
    </cfRule>
    <cfRule type="expression" priority="187" aboveAverage="0" equalAverage="0" bottom="0" percent="0" rank="0" text="" dxfId="189">
      <formula>#ref!="DIFUSORA"</formula>
    </cfRule>
  </conditionalFormatting>
  <conditionalFormatting sqref="C830">
    <cfRule type="expression" priority="188" aboveAverage="0" equalAverage="0" bottom="0" percent="0" rank="0" text="" dxfId="190">
      <formula>#ref!="PORTAL"</formula>
    </cfRule>
    <cfRule type="expression" priority="189" aboveAverage="0" equalAverage="0" bottom="0" percent="0" rank="0" text="" dxfId="191">
      <formula>#ref!="RÁDIO 79"</formula>
    </cfRule>
    <cfRule type="expression" priority="190" aboveAverage="0" equalAverage="0" bottom="0" percent="0" rank="0" text="" dxfId="192">
      <formula>#ref!="TH+"</formula>
    </cfRule>
    <cfRule type="expression" priority="191" aboveAverage="0" equalAverage="0" bottom="0" percent="0" rank="0" text="" dxfId="193">
      <formula>#ref!="TH+ IN"</formula>
    </cfRule>
    <cfRule type="expression" priority="192" aboveAverage="0" equalAverage="0" bottom="0" percent="0" rank="0" text="" dxfId="194">
      <formula>#ref!="NOVA BRASIL"</formula>
    </cfRule>
    <cfRule type="expression" priority="193" aboveAverage="0" equalAverage="0" bottom="0" percent="0" rank="0" text="" dxfId="195">
      <formula>#ref!="DIFUSORA"</formula>
    </cfRule>
  </conditionalFormatting>
  <conditionalFormatting sqref="C831:C832">
    <cfRule type="expression" priority="194" aboveAverage="0" equalAverage="0" bottom="0" percent="0" rank="0" text="" dxfId="196">
      <formula>#ref!="PORTAL"</formula>
    </cfRule>
    <cfRule type="expression" priority="195" aboveAverage="0" equalAverage="0" bottom="0" percent="0" rank="0" text="" dxfId="197">
      <formula>#ref!="RÁDIO 79"</formula>
    </cfRule>
    <cfRule type="expression" priority="196" aboveAverage="0" equalAverage="0" bottom="0" percent="0" rank="0" text="" dxfId="198">
      <formula>#ref!="TH+"</formula>
    </cfRule>
    <cfRule type="expression" priority="197" aboveAverage="0" equalAverage="0" bottom="0" percent="0" rank="0" text="" dxfId="199">
      <formula>#ref!="TH+ IN"</formula>
    </cfRule>
    <cfRule type="expression" priority="198" aboveAverage="0" equalAverage="0" bottom="0" percent="0" rank="0" text="" dxfId="200">
      <formula>#ref!="NOVA BRASIL"</formula>
    </cfRule>
    <cfRule type="expression" priority="199" aboveAverage="0" equalAverage="0" bottom="0" percent="0" rank="0" text="" dxfId="201">
      <formula>#ref!="DIFUSORA"</formula>
    </cfRule>
  </conditionalFormatting>
  <conditionalFormatting sqref="D817">
    <cfRule type="expression" priority="200" aboveAverage="0" equalAverage="0" bottom="0" percent="0" rank="0" text="" dxfId="202">
      <formula>#ref!="PORTAL"</formula>
    </cfRule>
    <cfRule type="expression" priority="201" aboveAverage="0" equalAverage="0" bottom="0" percent="0" rank="0" text="" dxfId="203">
      <formula>#ref!="TH+ IN"</formula>
    </cfRule>
    <cfRule type="expression" priority="202" aboveAverage="0" equalAverage="0" bottom="0" percent="0" rank="0" text="" dxfId="204">
      <formula>#ref!="RÁDIO 79"</formula>
    </cfRule>
    <cfRule type="expression" priority="203" aboveAverage="0" equalAverage="0" bottom="0" percent="0" rank="0" text="" dxfId="205">
      <formula>#ref!="TH+"</formula>
    </cfRule>
    <cfRule type="expression" priority="204" aboveAverage="0" equalAverage="0" bottom="0" percent="0" rank="0" text="" dxfId="206">
      <formula>#ref!="NOVA BRASIL"</formula>
    </cfRule>
    <cfRule type="expression" priority="205" aboveAverage="0" equalAverage="0" bottom="0" percent="0" rank="0" text="" dxfId="207">
      <formula>#ref!="DIFUSORA"</formula>
    </cfRule>
  </conditionalFormatting>
  <conditionalFormatting sqref="D812">
    <cfRule type="expression" priority="206" aboveAverage="0" equalAverage="0" bottom="0" percent="0" rank="0" text="" dxfId="208">
      <formula>#ref!="PORTAL"</formula>
    </cfRule>
    <cfRule type="expression" priority="207" aboveAverage="0" equalAverage="0" bottom="0" percent="0" rank="0" text="" dxfId="209">
      <formula>#ref!="RÁDIO 79"</formula>
    </cfRule>
    <cfRule type="expression" priority="208" aboveAverage="0" equalAverage="0" bottom="0" percent="0" rank="0" text="" dxfId="210">
      <formula>#ref!="TH+"</formula>
    </cfRule>
    <cfRule type="expression" priority="209" aboveAverage="0" equalAverage="0" bottom="0" percent="0" rank="0" text="" dxfId="211">
      <formula>#ref!="TH+ IN"</formula>
    </cfRule>
    <cfRule type="expression" priority="210" aboveAverage="0" equalAverage="0" bottom="0" percent="0" rank="0" text="" dxfId="212">
      <formula>#ref!="NOVA BRASIL"</formula>
    </cfRule>
    <cfRule type="expression" priority="211" aboveAverage="0" equalAverage="0" bottom="0" percent="0" rank="0" text="" dxfId="213">
      <formula>#ref!="DIFUSORA"</formula>
    </cfRule>
  </conditionalFormatting>
  <conditionalFormatting sqref="D813">
    <cfRule type="expression" priority="212" aboveAverage="0" equalAverage="0" bottom="0" percent="0" rank="0" text="" dxfId="214">
      <formula>#ref!="PORTAL"</formula>
    </cfRule>
    <cfRule type="expression" priority="213" aboveAverage="0" equalAverage="0" bottom="0" percent="0" rank="0" text="" dxfId="215">
      <formula>#ref!="RÁDIO 79"</formula>
    </cfRule>
    <cfRule type="expression" priority="214" aboveAverage="0" equalAverage="0" bottom="0" percent="0" rank="0" text="" dxfId="216">
      <formula>#ref!="TH+"</formula>
    </cfRule>
    <cfRule type="expression" priority="215" aboveAverage="0" equalAverage="0" bottom="0" percent="0" rank="0" text="" dxfId="217">
      <formula>#ref!="TH+ IN"</formula>
    </cfRule>
    <cfRule type="expression" priority="216" aboveAverage="0" equalAverage="0" bottom="0" percent="0" rank="0" text="" dxfId="218">
      <formula>#ref!="NOVA BRASIL"</formula>
    </cfRule>
    <cfRule type="expression" priority="217" aboveAverage="0" equalAverage="0" bottom="0" percent="0" rank="0" text="" dxfId="219">
      <formula>#ref!="DIFUSORA"</formula>
    </cfRule>
  </conditionalFormatting>
  <conditionalFormatting sqref="D811">
    <cfRule type="expression" priority="218" aboveAverage="0" equalAverage="0" bottom="0" percent="0" rank="0" text="" dxfId="220">
      <formula>#ref!="PORTAL"</formula>
    </cfRule>
    <cfRule type="expression" priority="219" aboveAverage="0" equalAverage="0" bottom="0" percent="0" rank="0" text="" dxfId="221">
      <formula>#ref!="RÁDIO 79"</formula>
    </cfRule>
    <cfRule type="expression" priority="220" aboveAverage="0" equalAverage="0" bottom="0" percent="0" rank="0" text="" dxfId="222">
      <formula>#ref!="TH+"</formula>
    </cfRule>
    <cfRule type="expression" priority="221" aboveAverage="0" equalAverage="0" bottom="0" percent="0" rank="0" text="" dxfId="223">
      <formula>#ref!="TH+ IN"</formula>
    </cfRule>
    <cfRule type="expression" priority="222" aboveAverage="0" equalAverage="0" bottom="0" percent="0" rank="0" text="" dxfId="224">
      <formula>#ref!="NOVA BRASIL"</formula>
    </cfRule>
    <cfRule type="expression" priority="223" aboveAverage="0" equalAverage="0" bottom="0" percent="0" rank="0" text="" dxfId="225">
      <formula>#ref!="DIFUSORA"</formula>
    </cfRule>
  </conditionalFormatting>
  <conditionalFormatting sqref="D812">
    <cfRule type="expression" priority="224" aboveAverage="0" equalAverage="0" bottom="0" percent="0" rank="0" text="" dxfId="226">
      <formula>#ref!="PORTAL"</formula>
    </cfRule>
    <cfRule type="expression" priority="225" aboveAverage="0" equalAverage="0" bottom="0" percent="0" rank="0" text="" dxfId="227">
      <formula>#ref!="RÁDIO 79"</formula>
    </cfRule>
    <cfRule type="expression" priority="226" aboveAverage="0" equalAverage="0" bottom="0" percent="0" rank="0" text="" dxfId="228">
      <formula>#ref!="TH+"</formula>
    </cfRule>
    <cfRule type="expression" priority="227" aboveAverage="0" equalAverage="0" bottom="0" percent="0" rank="0" text="" dxfId="229">
      <formula>#ref!="TH+ IN"</formula>
    </cfRule>
    <cfRule type="expression" priority="228" aboveAverage="0" equalAverage="0" bottom="0" percent="0" rank="0" text="" dxfId="230">
      <formula>#ref!="NOVA BRASIL"</formula>
    </cfRule>
    <cfRule type="expression" priority="229" aboveAverage="0" equalAverage="0" bottom="0" percent="0" rank="0" text="" dxfId="231">
      <formula>#ref!="DIFUSORA"</formula>
    </cfRule>
  </conditionalFormatting>
  <conditionalFormatting sqref="D813">
    <cfRule type="expression" priority="230" aboveAverage="0" equalAverage="0" bottom="0" percent="0" rank="0" text="" dxfId="232">
      <formula>#ref!="PORTAL"</formula>
    </cfRule>
    <cfRule type="expression" priority="231" aboveAverage="0" equalAverage="0" bottom="0" percent="0" rank="0" text="" dxfId="233">
      <formula>#ref!="RÁDIO 79"</formula>
    </cfRule>
    <cfRule type="expression" priority="232" aboveAverage="0" equalAverage="0" bottom="0" percent="0" rank="0" text="" dxfId="234">
      <formula>#ref!="TH+"</formula>
    </cfRule>
    <cfRule type="expression" priority="233" aboveAverage="0" equalAverage="0" bottom="0" percent="0" rank="0" text="" dxfId="235">
      <formula>#ref!="TH+ IN"</formula>
    </cfRule>
    <cfRule type="expression" priority="234" aboveAverage="0" equalAverage="0" bottom="0" percent="0" rank="0" text="" dxfId="236">
      <formula>#ref!="NOVA BRASIL"</formula>
    </cfRule>
    <cfRule type="expression" priority="235" aboveAverage="0" equalAverage="0" bottom="0" percent="0" rank="0" text="" dxfId="237">
      <formula>#ref!="DIFUSORA"</formula>
    </cfRule>
  </conditionalFormatting>
  <conditionalFormatting sqref="D814">
    <cfRule type="expression" priority="236" aboveAverage="0" equalAverage="0" bottom="0" percent="0" rank="0" text="" dxfId="238">
      <formula>#ref!="PORTAL"</formula>
    </cfRule>
    <cfRule type="expression" priority="237" aboveAverage="0" equalAverage="0" bottom="0" percent="0" rank="0" text="" dxfId="239">
      <formula>#ref!="RÁDIO 79"</formula>
    </cfRule>
    <cfRule type="expression" priority="238" aboveAverage="0" equalAverage="0" bottom="0" percent="0" rank="0" text="" dxfId="240">
      <formula>#ref!="TH+"</formula>
    </cfRule>
    <cfRule type="expression" priority="239" aboveAverage="0" equalAverage="0" bottom="0" percent="0" rank="0" text="" dxfId="241">
      <formula>#ref!="TH+ IN"</formula>
    </cfRule>
    <cfRule type="expression" priority="240" aboveAverage="0" equalAverage="0" bottom="0" percent="0" rank="0" text="" dxfId="242">
      <formula>#ref!="NOVA BRASIL"</formula>
    </cfRule>
    <cfRule type="expression" priority="241" aboveAverage="0" equalAverage="0" bottom="0" percent="0" rank="0" text="" dxfId="243">
      <formula>#ref!="DIFUSORA"</formula>
    </cfRule>
  </conditionalFormatting>
  <conditionalFormatting sqref="D815">
    <cfRule type="expression" priority="242" aboveAverage="0" equalAverage="0" bottom="0" percent="0" rank="0" text="" dxfId="244">
      <formula>#ref!="PORTAL"</formula>
    </cfRule>
    <cfRule type="expression" priority="243" aboveAverage="0" equalAverage="0" bottom="0" percent="0" rank="0" text="" dxfId="245">
      <formula>#ref!="RÁDIO 79"</formula>
    </cfRule>
    <cfRule type="expression" priority="244" aboveAverage="0" equalAverage="0" bottom="0" percent="0" rank="0" text="" dxfId="246">
      <formula>#ref!="TH+"</formula>
    </cfRule>
    <cfRule type="expression" priority="245" aboveAverage="0" equalAverage="0" bottom="0" percent="0" rank="0" text="" dxfId="247">
      <formula>#ref!="TH+ IN"</formula>
    </cfRule>
    <cfRule type="expression" priority="246" aboveAverage="0" equalAverage="0" bottom="0" percent="0" rank="0" text="" dxfId="248">
      <formula>#ref!="NOVA BRASIL"</formula>
    </cfRule>
    <cfRule type="expression" priority="247" aboveAverage="0" equalAverage="0" bottom="0" percent="0" rank="0" text="" dxfId="249">
      <formula>#ref!="DIFUSORA"</formula>
    </cfRule>
  </conditionalFormatting>
  <conditionalFormatting sqref="D816">
    <cfRule type="expression" priority="248" aboveAverage="0" equalAverage="0" bottom="0" percent="0" rank="0" text="" dxfId="250">
      <formula>#ref!="PORTAL"</formula>
    </cfRule>
    <cfRule type="expression" priority="249" aboveAverage="0" equalAverage="0" bottom="0" percent="0" rank="0" text="" dxfId="251">
      <formula>#ref!="RÁDIO 79"</formula>
    </cfRule>
    <cfRule type="expression" priority="250" aboveAverage="0" equalAverage="0" bottom="0" percent="0" rank="0" text="" dxfId="252">
      <formula>#ref!="TH+"</formula>
    </cfRule>
    <cfRule type="expression" priority="251" aboveAverage="0" equalAverage="0" bottom="0" percent="0" rank="0" text="" dxfId="253">
      <formula>#ref!="TH+ IN"</formula>
    </cfRule>
    <cfRule type="expression" priority="252" aboveAverage="0" equalAverage="0" bottom="0" percent="0" rank="0" text="" dxfId="254">
      <formula>#ref!="NOVA BRASIL"</formula>
    </cfRule>
    <cfRule type="expression" priority="253" aboveAverage="0" equalAverage="0" bottom="0" percent="0" rank="0" text="" dxfId="255">
      <formula>#ref!="DIFUSORA"</formula>
    </cfRule>
  </conditionalFormatting>
  <conditionalFormatting sqref="D818">
    <cfRule type="expression" priority="254" aboveAverage="0" equalAverage="0" bottom="0" percent="0" rank="0" text="" dxfId="256">
      <formula>#ref!="PORTAL"</formula>
    </cfRule>
    <cfRule type="expression" priority="255" aboveAverage="0" equalAverage="0" bottom="0" percent="0" rank="0" text="" dxfId="257">
      <formula>#ref!="RÁDIO 79"</formula>
    </cfRule>
    <cfRule type="expression" priority="256" aboveAverage="0" equalAverage="0" bottom="0" percent="0" rank="0" text="" dxfId="258">
      <formula>#ref!="TH+"</formula>
    </cfRule>
    <cfRule type="expression" priority="257" aboveAverage="0" equalAverage="0" bottom="0" percent="0" rank="0" text="" dxfId="259">
      <formula>#ref!="TH+ IN"</formula>
    </cfRule>
    <cfRule type="expression" priority="258" aboveAverage="0" equalAverage="0" bottom="0" percent="0" rank="0" text="" dxfId="260">
      <formula>#ref!="NOVA BRASIL"</formula>
    </cfRule>
    <cfRule type="expression" priority="259" aboveAverage="0" equalAverage="0" bottom="0" percent="0" rank="0" text="" dxfId="261">
      <formula>#ref!="DIFUSORA"</formula>
    </cfRule>
  </conditionalFormatting>
  <conditionalFormatting sqref="D819">
    <cfRule type="expression" priority="260" aboveAverage="0" equalAverage="0" bottom="0" percent="0" rank="0" text="" dxfId="262">
      <formula>#ref!="PORTAL"</formula>
    </cfRule>
    <cfRule type="expression" priority="261" aboveAverage="0" equalAverage="0" bottom="0" percent="0" rank="0" text="" dxfId="263">
      <formula>#ref!="RÁDIO 79"</formula>
    </cfRule>
    <cfRule type="expression" priority="262" aboveAverage="0" equalAverage="0" bottom="0" percent="0" rank="0" text="" dxfId="264">
      <formula>#ref!="TH+"</formula>
    </cfRule>
    <cfRule type="expression" priority="263" aboveAverage="0" equalAverage="0" bottom="0" percent="0" rank="0" text="" dxfId="265">
      <formula>#ref!="TH+ IN"</formula>
    </cfRule>
    <cfRule type="expression" priority="264" aboveAverage="0" equalAverage="0" bottom="0" percent="0" rank="0" text="" dxfId="266">
      <formula>#ref!="NOVA BRASIL"</formula>
    </cfRule>
    <cfRule type="expression" priority="265" aboveAverage="0" equalAverage="0" bottom="0" percent="0" rank="0" text="" dxfId="267">
      <formula>#ref!="DIFUSORA"</formula>
    </cfRule>
  </conditionalFormatting>
  <conditionalFormatting sqref="D820">
    <cfRule type="expression" priority="266" aboveAverage="0" equalAverage="0" bottom="0" percent="0" rank="0" text="" dxfId="268">
      <formula>#ref!="PORTAL"</formula>
    </cfRule>
    <cfRule type="expression" priority="267" aboveAverage="0" equalAverage="0" bottom="0" percent="0" rank="0" text="" dxfId="269">
      <formula>#ref!="RÁDIO 79"</formula>
    </cfRule>
    <cfRule type="expression" priority="268" aboveAverage="0" equalAverage="0" bottom="0" percent="0" rank="0" text="" dxfId="270">
      <formula>#ref!="TH+"</formula>
    </cfRule>
    <cfRule type="expression" priority="269" aboveAverage="0" equalAverage="0" bottom="0" percent="0" rank="0" text="" dxfId="271">
      <formula>#ref!="TH+ IN"</formula>
    </cfRule>
    <cfRule type="expression" priority="270" aboveAverage="0" equalAverage="0" bottom="0" percent="0" rank="0" text="" dxfId="272">
      <formula>#ref!="NOVA BRASIL"</formula>
    </cfRule>
    <cfRule type="expression" priority="271" aboveAverage="0" equalAverage="0" bottom="0" percent="0" rank="0" text="" dxfId="273">
      <formula>#ref!="DIFUSORA"</formula>
    </cfRule>
  </conditionalFormatting>
  <conditionalFormatting sqref="D822:D823">
    <cfRule type="expression" priority="272" aboveAverage="0" equalAverage="0" bottom="0" percent="0" rank="0" text="" dxfId="274">
      <formula>#ref!="PORTAL"</formula>
    </cfRule>
    <cfRule type="expression" priority="273" aboveAverage="0" equalAverage="0" bottom="0" percent="0" rank="0" text="" dxfId="275">
      <formula>#ref!="RÁDIO 79"</formula>
    </cfRule>
    <cfRule type="expression" priority="274" aboveAverage="0" equalAverage="0" bottom="0" percent="0" rank="0" text="" dxfId="276">
      <formula>#ref!="TH+"</formula>
    </cfRule>
    <cfRule type="expression" priority="275" aboveAverage="0" equalAverage="0" bottom="0" percent="0" rank="0" text="" dxfId="277">
      <formula>#ref!="TH+ IN"</formula>
    </cfRule>
    <cfRule type="expression" priority="276" aboveAverage="0" equalAverage="0" bottom="0" percent="0" rank="0" text="" dxfId="278">
      <formula>#ref!="NOVA BRASIL"</formula>
    </cfRule>
    <cfRule type="expression" priority="277" aboveAverage="0" equalAverage="0" bottom="0" percent="0" rank="0" text="" dxfId="279">
      <formula>#ref!="DIFUSORA"</formula>
    </cfRule>
  </conditionalFormatting>
  <conditionalFormatting sqref="D825:D828">
    <cfRule type="expression" priority="278" aboveAverage="0" equalAverage="0" bottom="0" percent="0" rank="0" text="" dxfId="280">
      <formula>#ref!="PORTAL"</formula>
    </cfRule>
    <cfRule type="expression" priority="279" aboveAverage="0" equalAverage="0" bottom="0" percent="0" rank="0" text="" dxfId="281">
      <formula>#ref!="RÁDIO 79"</formula>
    </cfRule>
    <cfRule type="expression" priority="280" aboveAverage="0" equalAverage="0" bottom="0" percent="0" rank="0" text="" dxfId="282">
      <formula>#ref!="TH+"</formula>
    </cfRule>
    <cfRule type="expression" priority="281" aboveAverage="0" equalAverage="0" bottom="0" percent="0" rank="0" text="" dxfId="283">
      <formula>#ref!="TH+ IN"</formula>
    </cfRule>
    <cfRule type="expression" priority="282" aboveAverage="0" equalAverage="0" bottom="0" percent="0" rank="0" text="" dxfId="284">
      <formula>#ref!="NOVA BRASIL"</formula>
    </cfRule>
    <cfRule type="expression" priority="283" aboveAverage="0" equalAverage="0" bottom="0" percent="0" rank="0" text="" dxfId="285">
      <formula>#ref!="DIFUSORA"</formula>
    </cfRule>
  </conditionalFormatting>
  <conditionalFormatting sqref="D829">
    <cfRule type="expression" priority="284" aboveAverage="0" equalAverage="0" bottom="0" percent="0" rank="0" text="" dxfId="286">
      <formula>#ref!="PORTAL"</formula>
    </cfRule>
    <cfRule type="expression" priority="285" aboveAverage="0" equalAverage="0" bottom="0" percent="0" rank="0" text="" dxfId="287">
      <formula>#ref!="RÁDIO 79"</formula>
    </cfRule>
    <cfRule type="expression" priority="286" aboveAverage="0" equalAverage="0" bottom="0" percent="0" rank="0" text="" dxfId="288">
      <formula>#ref!="TH+"</formula>
    </cfRule>
    <cfRule type="expression" priority="287" aboveAverage="0" equalAverage="0" bottom="0" percent="0" rank="0" text="" dxfId="289">
      <formula>#ref!="TH+ IN"</formula>
    </cfRule>
    <cfRule type="expression" priority="288" aboveAverage="0" equalAverage="0" bottom="0" percent="0" rank="0" text="" dxfId="290">
      <formula>#ref!="NOVA BRASIL"</formula>
    </cfRule>
    <cfRule type="expression" priority="289" aboveAverage="0" equalAverage="0" bottom="0" percent="0" rank="0" text="" dxfId="291">
      <formula>#ref!="DIFUSORA"</formula>
    </cfRule>
  </conditionalFormatting>
  <conditionalFormatting sqref="D830">
    <cfRule type="expression" priority="290" aboveAverage="0" equalAverage="0" bottom="0" percent="0" rank="0" text="" dxfId="292">
      <formula>#ref!="PORTAL"</formula>
    </cfRule>
    <cfRule type="expression" priority="291" aboveAverage="0" equalAverage="0" bottom="0" percent="0" rank="0" text="" dxfId="293">
      <formula>#ref!="RÁDIO 79"</formula>
    </cfRule>
    <cfRule type="expression" priority="292" aboveAverage="0" equalAverage="0" bottom="0" percent="0" rank="0" text="" dxfId="294">
      <formula>#ref!="TH+"</formula>
    </cfRule>
    <cfRule type="expression" priority="293" aboveAverage="0" equalAverage="0" bottom="0" percent="0" rank="0" text="" dxfId="295">
      <formula>#ref!="TH+ IN"</formula>
    </cfRule>
    <cfRule type="expression" priority="294" aboveAverage="0" equalAverage="0" bottom="0" percent="0" rank="0" text="" dxfId="296">
      <formula>#ref!="NOVA BRASIL"</formula>
    </cfRule>
    <cfRule type="expression" priority="295" aboveAverage="0" equalAverage="0" bottom="0" percent="0" rank="0" text="" dxfId="297">
      <formula>#ref!="DIFUSORA"</formula>
    </cfRule>
  </conditionalFormatting>
  <conditionalFormatting sqref="D831:D832">
    <cfRule type="expression" priority="296" aboveAverage="0" equalAverage="0" bottom="0" percent="0" rank="0" text="" dxfId="298">
      <formula>#ref!="PORTAL"</formula>
    </cfRule>
    <cfRule type="expression" priority="297" aboveAverage="0" equalAverage="0" bottom="0" percent="0" rank="0" text="" dxfId="299">
      <formula>#ref!="RÁDIO 79"</formula>
    </cfRule>
    <cfRule type="expression" priority="298" aboveAverage="0" equalAverage="0" bottom="0" percent="0" rank="0" text="" dxfId="300">
      <formula>#ref!="TH+"</formula>
    </cfRule>
    <cfRule type="expression" priority="299" aboveAverage="0" equalAverage="0" bottom="0" percent="0" rank="0" text="" dxfId="301">
      <formula>#ref!="TH+ IN"</formula>
    </cfRule>
    <cfRule type="expression" priority="300" aboveAverage="0" equalAverage="0" bottom="0" percent="0" rank="0" text="" dxfId="302">
      <formula>#ref!="NOVA BRASIL"</formula>
    </cfRule>
    <cfRule type="expression" priority="301" aboveAverage="0" equalAverage="0" bottom="0" percent="0" rank="0" text="" dxfId="303">
      <formula>#ref!="DIFUSORA"</formula>
    </cfRule>
  </conditionalFormatting>
  <conditionalFormatting sqref="E812">
    <cfRule type="expression" priority="302" aboveAverage="0" equalAverage="0" bottom="0" percent="0" rank="0" text="" dxfId="304">
      <formula>$D812="PORTAL"</formula>
    </cfRule>
    <cfRule type="expression" priority="303" aboveAverage="0" equalAverage="0" bottom="0" percent="0" rank="0" text="" dxfId="305">
      <formula>$D812="RÁDIO 79"</formula>
    </cfRule>
    <cfRule type="expression" priority="304" aboveAverage="0" equalAverage="0" bottom="0" percent="0" rank="0" text="" dxfId="306">
      <formula>$D812="TH+"</formula>
    </cfRule>
    <cfRule type="expression" priority="305" aboveAverage="0" equalAverage="0" bottom="0" percent="0" rank="0" text="" dxfId="307">
      <formula>$D812="TH+ IN"</formula>
    </cfRule>
    <cfRule type="expression" priority="306" aboveAverage="0" equalAverage="0" bottom="0" percent="0" rank="0" text="" dxfId="308">
      <formula>$D812="NOVA BRASIL"</formula>
    </cfRule>
    <cfRule type="expression" priority="307" aboveAverage="0" equalAverage="0" bottom="0" percent="0" rank="0" text="" dxfId="309">
      <formula>$D812="DIFUSORA"</formula>
    </cfRule>
  </conditionalFormatting>
  <conditionalFormatting sqref="E813">
    <cfRule type="expression" priority="308" aboveAverage="0" equalAverage="0" bottom="0" percent="0" rank="0" text="" dxfId="310">
      <formula>$D813="PORTAL"</formula>
    </cfRule>
    <cfRule type="expression" priority="309" aboveAverage="0" equalAverage="0" bottom="0" percent="0" rank="0" text="" dxfId="311">
      <formula>$D813="RÁDIO 79"</formula>
    </cfRule>
    <cfRule type="expression" priority="310" aboveAverage="0" equalAverage="0" bottom="0" percent="0" rank="0" text="" dxfId="312">
      <formula>$D813="TH+"</formula>
    </cfRule>
    <cfRule type="expression" priority="311" aboveAverage="0" equalAverage="0" bottom="0" percent="0" rank="0" text="" dxfId="313">
      <formula>$D813="TH+ IN"</formula>
    </cfRule>
    <cfRule type="expression" priority="312" aboveAverage="0" equalAverage="0" bottom="0" percent="0" rank="0" text="" dxfId="314">
      <formula>$D813="NOVA BRASIL"</formula>
    </cfRule>
    <cfRule type="expression" priority="313" aboveAverage="0" equalAverage="0" bottom="0" percent="0" rank="0" text="" dxfId="315">
      <formula>$D813="DIFUSORA"</formula>
    </cfRule>
  </conditionalFormatting>
  <conditionalFormatting sqref="E811">
    <cfRule type="expression" priority="314" aboveAverage="0" equalAverage="0" bottom="0" percent="0" rank="0" text="" dxfId="316">
      <formula>$D811="PORTAL"</formula>
    </cfRule>
    <cfRule type="expression" priority="315" aboveAverage="0" equalAverage="0" bottom="0" percent="0" rank="0" text="" dxfId="317">
      <formula>$D811="RÁDIO 79"</formula>
    </cfRule>
    <cfRule type="expression" priority="316" aboveAverage="0" equalAverage="0" bottom="0" percent="0" rank="0" text="" dxfId="318">
      <formula>$D811="TH+"</formula>
    </cfRule>
    <cfRule type="expression" priority="317" aboveAverage="0" equalAverage="0" bottom="0" percent="0" rank="0" text="" dxfId="319">
      <formula>$D811="TH+ IN"</formula>
    </cfRule>
    <cfRule type="expression" priority="318" aboveAverage="0" equalAverage="0" bottom="0" percent="0" rank="0" text="" dxfId="320">
      <formula>$D811="NOVA BRASIL"</formula>
    </cfRule>
    <cfRule type="expression" priority="319" aboveAverage="0" equalAverage="0" bottom="0" percent="0" rank="0" text="" dxfId="321">
      <formula>$D811="DIFUSORA"</formula>
    </cfRule>
  </conditionalFormatting>
  <conditionalFormatting sqref="E812">
    <cfRule type="expression" priority="320" aboveAverage="0" equalAverage="0" bottom="0" percent="0" rank="0" text="" dxfId="322">
      <formula>$D812="PORTAL"</formula>
    </cfRule>
    <cfRule type="expression" priority="321" aboveAverage="0" equalAverage="0" bottom="0" percent="0" rank="0" text="" dxfId="323">
      <formula>$D812="RÁDIO 79"</formula>
    </cfRule>
    <cfRule type="expression" priority="322" aboveAverage="0" equalAverage="0" bottom="0" percent="0" rank="0" text="" dxfId="324">
      <formula>$D812="TH+"</formula>
    </cfRule>
    <cfRule type="expression" priority="323" aboveAverage="0" equalAverage="0" bottom="0" percent="0" rank="0" text="" dxfId="325">
      <formula>$D812="TH+ IN"</formula>
    </cfRule>
    <cfRule type="expression" priority="324" aboveAverage="0" equalAverage="0" bottom="0" percent="0" rank="0" text="" dxfId="326">
      <formula>$D812="NOVA BRASIL"</formula>
    </cfRule>
    <cfRule type="expression" priority="325" aboveAverage="0" equalAverage="0" bottom="0" percent="0" rank="0" text="" dxfId="327">
      <formula>$D812="DIFUSORA"</formula>
    </cfRule>
  </conditionalFormatting>
  <conditionalFormatting sqref="E813">
    <cfRule type="expression" priority="326" aboveAverage="0" equalAverage="0" bottom="0" percent="0" rank="0" text="" dxfId="328">
      <formula>$D813="PORTAL"</formula>
    </cfRule>
    <cfRule type="expression" priority="327" aboveAverage="0" equalAverage="0" bottom="0" percent="0" rank="0" text="" dxfId="329">
      <formula>$D813="RÁDIO 79"</formula>
    </cfRule>
    <cfRule type="expression" priority="328" aboveAverage="0" equalAverage="0" bottom="0" percent="0" rank="0" text="" dxfId="330">
      <formula>$D813="TH+"</formula>
    </cfRule>
    <cfRule type="expression" priority="329" aboveAverage="0" equalAverage="0" bottom="0" percent="0" rank="0" text="" dxfId="331">
      <formula>$D813="TH+ IN"</formula>
    </cfRule>
    <cfRule type="expression" priority="330" aboveAverage="0" equalAverage="0" bottom="0" percent="0" rank="0" text="" dxfId="332">
      <formula>$D813="NOVA BRASIL"</formula>
    </cfRule>
    <cfRule type="expression" priority="331" aboveAverage="0" equalAverage="0" bottom="0" percent="0" rank="0" text="" dxfId="333">
      <formula>$D813="DIFUSORA"</formula>
    </cfRule>
  </conditionalFormatting>
  <conditionalFormatting sqref="E814">
    <cfRule type="expression" priority="332" aboveAverage="0" equalAverage="0" bottom="0" percent="0" rank="0" text="" dxfId="334">
      <formula>$D814="PORTAL"</formula>
    </cfRule>
    <cfRule type="expression" priority="333" aboveAverage="0" equalAverage="0" bottom="0" percent="0" rank="0" text="" dxfId="335">
      <formula>$D814="RÁDIO 79"</formula>
    </cfRule>
    <cfRule type="expression" priority="334" aboveAverage="0" equalAverage="0" bottom="0" percent="0" rank="0" text="" dxfId="336">
      <formula>$D814="TH+"</formula>
    </cfRule>
    <cfRule type="expression" priority="335" aboveAverage="0" equalAverage="0" bottom="0" percent="0" rank="0" text="" dxfId="337">
      <formula>$D814="TH+ IN"</formula>
    </cfRule>
    <cfRule type="expression" priority="336" aboveAverage="0" equalAverage="0" bottom="0" percent="0" rank="0" text="" dxfId="338">
      <formula>$D814="NOVA BRASIL"</formula>
    </cfRule>
    <cfRule type="expression" priority="337" aboveAverage="0" equalAverage="0" bottom="0" percent="0" rank="0" text="" dxfId="339">
      <formula>$D814="DIFUSORA"</formula>
    </cfRule>
  </conditionalFormatting>
  <conditionalFormatting sqref="E815">
    <cfRule type="expression" priority="338" aboveAverage="0" equalAverage="0" bottom="0" percent="0" rank="0" text="" dxfId="340">
      <formula>$D815="PORTAL"</formula>
    </cfRule>
    <cfRule type="expression" priority="339" aboveAverage="0" equalAverage="0" bottom="0" percent="0" rank="0" text="" dxfId="341">
      <formula>$D815="RÁDIO 79"</formula>
    </cfRule>
    <cfRule type="expression" priority="340" aboveAverage="0" equalAverage="0" bottom="0" percent="0" rank="0" text="" dxfId="342">
      <formula>$D815="TH+"</formula>
    </cfRule>
    <cfRule type="expression" priority="341" aboveAverage="0" equalAverage="0" bottom="0" percent="0" rank="0" text="" dxfId="343">
      <formula>$D815="TH+ IN"</formula>
    </cfRule>
    <cfRule type="expression" priority="342" aboveAverage="0" equalAverage="0" bottom="0" percent="0" rank="0" text="" dxfId="344">
      <formula>$D815="NOVA BRASIL"</formula>
    </cfRule>
    <cfRule type="expression" priority="343" aboveAverage="0" equalAverage="0" bottom="0" percent="0" rank="0" text="" dxfId="345">
      <formula>$D815="DIFUSORA"</formula>
    </cfRule>
  </conditionalFormatting>
  <conditionalFormatting sqref="E816">
    <cfRule type="expression" priority="344" aboveAverage="0" equalAverage="0" bottom="0" percent="0" rank="0" text="" dxfId="346">
      <formula>$D816="PORTAL"</formula>
    </cfRule>
    <cfRule type="expression" priority="345" aboveAverage="0" equalAverage="0" bottom="0" percent="0" rank="0" text="" dxfId="347">
      <formula>$D816="RÁDIO 79"</formula>
    </cfRule>
    <cfRule type="expression" priority="346" aboveAverage="0" equalAverage="0" bottom="0" percent="0" rank="0" text="" dxfId="348">
      <formula>$D816="TH+"</formula>
    </cfRule>
    <cfRule type="expression" priority="347" aboveAverage="0" equalAverage="0" bottom="0" percent="0" rank="0" text="" dxfId="349">
      <formula>$D816="TH+ IN"</formula>
    </cfRule>
    <cfRule type="expression" priority="348" aboveAverage="0" equalAverage="0" bottom="0" percent="0" rank="0" text="" dxfId="350">
      <formula>$D816="NOVA BRASIL"</formula>
    </cfRule>
    <cfRule type="expression" priority="349" aboveAverage="0" equalAverage="0" bottom="0" percent="0" rank="0" text="" dxfId="351">
      <formula>$D816="DIFUSORA"</formula>
    </cfRule>
  </conditionalFormatting>
  <conditionalFormatting sqref="E818">
    <cfRule type="expression" priority="350" aboveAverage="0" equalAverage="0" bottom="0" percent="0" rank="0" text="" dxfId="352">
      <formula>$D818="PORTAL"</formula>
    </cfRule>
    <cfRule type="expression" priority="351" aboveAverage="0" equalAverage="0" bottom="0" percent="0" rank="0" text="" dxfId="353">
      <formula>$D818="RÁDIO 79"</formula>
    </cfRule>
    <cfRule type="expression" priority="352" aboveAverage="0" equalAverage="0" bottom="0" percent="0" rank="0" text="" dxfId="354">
      <formula>$D818="TH+"</formula>
    </cfRule>
    <cfRule type="expression" priority="353" aboveAverage="0" equalAverage="0" bottom="0" percent="0" rank="0" text="" dxfId="355">
      <formula>$D818="TH+ IN"</formula>
    </cfRule>
    <cfRule type="expression" priority="354" aboveAverage="0" equalAverage="0" bottom="0" percent="0" rank="0" text="" dxfId="356">
      <formula>$D818="NOVA BRASIL"</formula>
    </cfRule>
    <cfRule type="expression" priority="355" aboveAverage="0" equalAverage="0" bottom="0" percent="0" rank="0" text="" dxfId="357">
      <formula>$D818="DIFUSORA"</formula>
    </cfRule>
  </conditionalFormatting>
  <conditionalFormatting sqref="E819">
    <cfRule type="expression" priority="356" aboveAverage="0" equalAverage="0" bottom="0" percent="0" rank="0" text="" dxfId="358">
      <formula>$D819="PORTAL"</formula>
    </cfRule>
    <cfRule type="expression" priority="357" aboveAverage="0" equalAverage="0" bottom="0" percent="0" rank="0" text="" dxfId="359">
      <formula>$D819="RÁDIO 79"</formula>
    </cfRule>
    <cfRule type="expression" priority="358" aboveAverage="0" equalAverage="0" bottom="0" percent="0" rank="0" text="" dxfId="360">
      <formula>$D819="TH+"</formula>
    </cfRule>
    <cfRule type="expression" priority="359" aboveAverage="0" equalAverage="0" bottom="0" percent="0" rank="0" text="" dxfId="361">
      <formula>$D819="TH+ IN"</formula>
    </cfRule>
    <cfRule type="expression" priority="360" aboveAverage="0" equalAverage="0" bottom="0" percent="0" rank="0" text="" dxfId="362">
      <formula>$D819="NOVA BRASIL"</formula>
    </cfRule>
    <cfRule type="expression" priority="361" aboveAverage="0" equalAverage="0" bottom="0" percent="0" rank="0" text="" dxfId="363">
      <formula>$D819="DIFUSORA"</formula>
    </cfRule>
  </conditionalFormatting>
  <conditionalFormatting sqref="E820">
    <cfRule type="expression" priority="362" aboveAverage="0" equalAverage="0" bottom="0" percent="0" rank="0" text="" dxfId="364">
      <formula>$D820="PORTAL"</formula>
    </cfRule>
    <cfRule type="expression" priority="363" aboveAverage="0" equalAverage="0" bottom="0" percent="0" rank="0" text="" dxfId="365">
      <formula>$D820="RÁDIO 79"</formula>
    </cfRule>
    <cfRule type="expression" priority="364" aboveAverage="0" equalAverage="0" bottom="0" percent="0" rank="0" text="" dxfId="366">
      <formula>$D820="TH+"</formula>
    </cfRule>
    <cfRule type="expression" priority="365" aboveAverage="0" equalAverage="0" bottom="0" percent="0" rank="0" text="" dxfId="367">
      <formula>$D820="TH+ IN"</formula>
    </cfRule>
    <cfRule type="expression" priority="366" aboveAverage="0" equalAverage="0" bottom="0" percent="0" rank="0" text="" dxfId="368">
      <formula>$D820="NOVA BRASIL"</formula>
    </cfRule>
    <cfRule type="expression" priority="367" aboveAverage="0" equalAverage="0" bottom="0" percent="0" rank="0" text="" dxfId="369">
      <formula>$D820="DIFUSORA"</formula>
    </cfRule>
  </conditionalFormatting>
  <conditionalFormatting sqref="E822:E823">
    <cfRule type="expression" priority="368" aboveAverage="0" equalAverage="0" bottom="0" percent="0" rank="0" text="" dxfId="370">
      <formula>$D822="PORTAL"</formula>
    </cfRule>
    <cfRule type="expression" priority="369" aboveAverage="0" equalAverage="0" bottom="0" percent="0" rank="0" text="" dxfId="371">
      <formula>$D822="RÁDIO 79"</formula>
    </cfRule>
    <cfRule type="expression" priority="370" aboveAverage="0" equalAverage="0" bottom="0" percent="0" rank="0" text="" dxfId="372">
      <formula>$D822="TH+"</formula>
    </cfRule>
    <cfRule type="expression" priority="371" aboveAverage="0" equalAverage="0" bottom="0" percent="0" rank="0" text="" dxfId="373">
      <formula>$D822="TH+ IN"</formula>
    </cfRule>
    <cfRule type="expression" priority="372" aboveAverage="0" equalAverage="0" bottom="0" percent="0" rank="0" text="" dxfId="374">
      <formula>$D822="NOVA BRASIL"</formula>
    </cfRule>
    <cfRule type="expression" priority="373" aboveAverage="0" equalAverage="0" bottom="0" percent="0" rank="0" text="" dxfId="375">
      <formula>$D822="DIFUSORA"</formula>
    </cfRule>
  </conditionalFormatting>
  <conditionalFormatting sqref="E825:E828">
    <cfRule type="expression" priority="374" aboveAverage="0" equalAverage="0" bottom="0" percent="0" rank="0" text="" dxfId="376">
      <formula>$D825="PORTAL"</formula>
    </cfRule>
    <cfRule type="expression" priority="375" aboveAverage="0" equalAverage="0" bottom="0" percent="0" rank="0" text="" dxfId="377">
      <formula>$D825="RÁDIO 79"</formula>
    </cfRule>
    <cfRule type="expression" priority="376" aboveAverage="0" equalAverage="0" bottom="0" percent="0" rank="0" text="" dxfId="378">
      <formula>$D825="TH+"</formula>
    </cfRule>
    <cfRule type="expression" priority="377" aboveAverage="0" equalAverage="0" bottom="0" percent="0" rank="0" text="" dxfId="379">
      <formula>$D825="TH+ IN"</formula>
    </cfRule>
    <cfRule type="expression" priority="378" aboveAverage="0" equalAverage="0" bottom="0" percent="0" rank="0" text="" dxfId="380">
      <formula>$D825="NOVA BRASIL"</formula>
    </cfRule>
    <cfRule type="expression" priority="379" aboveAverage="0" equalAverage="0" bottom="0" percent="0" rank="0" text="" dxfId="381">
      <formula>$D825="DIFUSORA"</formula>
    </cfRule>
  </conditionalFormatting>
  <conditionalFormatting sqref="E829">
    <cfRule type="expression" priority="380" aboveAverage="0" equalAverage="0" bottom="0" percent="0" rank="0" text="" dxfId="382">
      <formula>$D829="PORTAL"</formula>
    </cfRule>
    <cfRule type="expression" priority="381" aboveAverage="0" equalAverage="0" bottom="0" percent="0" rank="0" text="" dxfId="383">
      <formula>$D829="RÁDIO 79"</formula>
    </cfRule>
    <cfRule type="expression" priority="382" aboveAverage="0" equalAverage="0" bottom="0" percent="0" rank="0" text="" dxfId="384">
      <formula>$D829="TH+"</formula>
    </cfRule>
    <cfRule type="expression" priority="383" aboveAverage="0" equalAverage="0" bottom="0" percent="0" rank="0" text="" dxfId="385">
      <formula>$D829="TH+ IN"</formula>
    </cfRule>
    <cfRule type="expression" priority="384" aboveAverage="0" equalAverage="0" bottom="0" percent="0" rank="0" text="" dxfId="386">
      <formula>$D829="NOVA BRASIL"</formula>
    </cfRule>
    <cfRule type="expression" priority="385" aboveAverage="0" equalAverage="0" bottom="0" percent="0" rank="0" text="" dxfId="387">
      <formula>$D829="DIFUSORA"</formula>
    </cfRule>
  </conditionalFormatting>
  <conditionalFormatting sqref="E830">
    <cfRule type="expression" priority="386" aboveAverage="0" equalAverage="0" bottom="0" percent="0" rank="0" text="" dxfId="388">
      <formula>$D830="PORTAL"</formula>
    </cfRule>
    <cfRule type="expression" priority="387" aboveAverage="0" equalAverage="0" bottom="0" percent="0" rank="0" text="" dxfId="389">
      <formula>$D830="RÁDIO 79"</formula>
    </cfRule>
    <cfRule type="expression" priority="388" aboveAverage="0" equalAverage="0" bottom="0" percent="0" rank="0" text="" dxfId="390">
      <formula>$D830="TH+"</formula>
    </cfRule>
    <cfRule type="expression" priority="389" aboveAverage="0" equalAverage="0" bottom="0" percent="0" rank="0" text="" dxfId="391">
      <formula>$D830="TH+ IN"</formula>
    </cfRule>
    <cfRule type="expression" priority="390" aboveAverage="0" equalAverage="0" bottom="0" percent="0" rank="0" text="" dxfId="392">
      <formula>$D830="NOVA BRASIL"</formula>
    </cfRule>
    <cfRule type="expression" priority="391" aboveAverage="0" equalAverage="0" bottom="0" percent="0" rank="0" text="" dxfId="393">
      <formula>$D830="DIFUSORA"</formula>
    </cfRule>
  </conditionalFormatting>
  <conditionalFormatting sqref="E831:E832">
    <cfRule type="expression" priority="392" aboveAverage="0" equalAverage="0" bottom="0" percent="0" rank="0" text="" dxfId="394">
      <formula>$D831="PORTAL"</formula>
    </cfRule>
    <cfRule type="expression" priority="393" aboveAverage="0" equalAverage="0" bottom="0" percent="0" rank="0" text="" dxfId="395">
      <formula>$D831="RÁDIO 79"</formula>
    </cfRule>
    <cfRule type="expression" priority="394" aboveAverage="0" equalAverage="0" bottom="0" percent="0" rank="0" text="" dxfId="396">
      <formula>$D831="TH+"</formula>
    </cfRule>
    <cfRule type="expression" priority="395" aboveAverage="0" equalAverage="0" bottom="0" percent="0" rank="0" text="" dxfId="397">
      <formula>$D831="TH+ IN"</formula>
    </cfRule>
    <cfRule type="expression" priority="396" aboveAverage="0" equalAverage="0" bottom="0" percent="0" rank="0" text="" dxfId="398">
      <formula>$D831="NOVA BRASIL"</formula>
    </cfRule>
    <cfRule type="expression" priority="397" aboveAverage="0" equalAverage="0" bottom="0" percent="0" rank="0" text="" dxfId="399">
      <formula>$D831="DIFUSORA"</formula>
    </cfRule>
  </conditionalFormatting>
  <conditionalFormatting sqref="J812">
    <cfRule type="expression" priority="398" aboveAverage="0" equalAverage="0" bottom="0" percent="0" rank="0" text="" dxfId="400">
      <formula>$D812="PORTAL"</formula>
    </cfRule>
    <cfRule type="expression" priority="399" aboveAverage="0" equalAverage="0" bottom="0" percent="0" rank="0" text="" dxfId="401">
      <formula>$D812="RÁDIO 79"</formula>
    </cfRule>
    <cfRule type="expression" priority="400" aboveAverage="0" equalAverage="0" bottom="0" percent="0" rank="0" text="" dxfId="402">
      <formula>$D812="TH+"</formula>
    </cfRule>
    <cfRule type="expression" priority="401" aboveAverage="0" equalAverage="0" bottom="0" percent="0" rank="0" text="" dxfId="403">
      <formula>$D812="TH+ IN"</formula>
    </cfRule>
    <cfRule type="expression" priority="402" aboveAverage="0" equalAverage="0" bottom="0" percent="0" rank="0" text="" dxfId="404">
      <formula>$D812="NOVA BRASIL"</formula>
    </cfRule>
    <cfRule type="expression" priority="403" aboveAverage="0" equalAverage="0" bottom="0" percent="0" rank="0" text="" dxfId="405">
      <formula>$D812="DIFUSORA"</formula>
    </cfRule>
  </conditionalFormatting>
  <conditionalFormatting sqref="J813">
    <cfRule type="expression" priority="404" aboveAverage="0" equalAverage="0" bottom="0" percent="0" rank="0" text="" dxfId="406">
      <formula>$D813="PORTAL"</formula>
    </cfRule>
    <cfRule type="expression" priority="405" aboveAverage="0" equalAverage="0" bottom="0" percent="0" rank="0" text="" dxfId="407">
      <formula>$D813="RÁDIO 79"</formula>
    </cfRule>
    <cfRule type="expression" priority="406" aboveAverage="0" equalAverage="0" bottom="0" percent="0" rank="0" text="" dxfId="408">
      <formula>$D813="TH+"</formula>
    </cfRule>
    <cfRule type="expression" priority="407" aboveAverage="0" equalAverage="0" bottom="0" percent="0" rank="0" text="" dxfId="409">
      <formula>$D813="TH+ IN"</formula>
    </cfRule>
    <cfRule type="expression" priority="408" aboveAverage="0" equalAverage="0" bottom="0" percent="0" rank="0" text="" dxfId="410">
      <formula>$D813="NOVA BRASIL"</formula>
    </cfRule>
    <cfRule type="expression" priority="409" aboveAverage="0" equalAverage="0" bottom="0" percent="0" rank="0" text="" dxfId="411">
      <formula>$D813="DIFUSORA"</formula>
    </cfRule>
  </conditionalFormatting>
  <conditionalFormatting sqref="J811">
    <cfRule type="expression" priority="410" aboveAverage="0" equalAverage="0" bottom="0" percent="0" rank="0" text="" dxfId="412">
      <formula>$D811="PORTAL"</formula>
    </cfRule>
    <cfRule type="expression" priority="411" aboveAverage="0" equalAverage="0" bottom="0" percent="0" rank="0" text="" dxfId="413">
      <formula>$D811="RÁDIO 79"</formula>
    </cfRule>
    <cfRule type="expression" priority="412" aboveAverage="0" equalAverage="0" bottom="0" percent="0" rank="0" text="" dxfId="414">
      <formula>$D811="TH+"</formula>
    </cfRule>
    <cfRule type="expression" priority="413" aboveAverage="0" equalAverage="0" bottom="0" percent="0" rank="0" text="" dxfId="415">
      <formula>$D811="TH+ IN"</formula>
    </cfRule>
    <cfRule type="expression" priority="414" aboveAverage="0" equalAverage="0" bottom="0" percent="0" rank="0" text="" dxfId="416">
      <formula>$D811="NOVA BRASIL"</formula>
    </cfRule>
    <cfRule type="expression" priority="415" aboveAverage="0" equalAverage="0" bottom="0" percent="0" rank="0" text="" dxfId="417">
      <formula>$D811="DIFUSORA"</formula>
    </cfRule>
  </conditionalFormatting>
  <conditionalFormatting sqref="J812">
    <cfRule type="expression" priority="416" aboveAverage="0" equalAverage="0" bottom="0" percent="0" rank="0" text="" dxfId="418">
      <formula>$D812="PORTAL"</formula>
    </cfRule>
    <cfRule type="expression" priority="417" aboveAverage="0" equalAverage="0" bottom="0" percent="0" rank="0" text="" dxfId="419">
      <formula>$D812="RÁDIO 79"</formula>
    </cfRule>
    <cfRule type="expression" priority="418" aboveAverage="0" equalAverage="0" bottom="0" percent="0" rank="0" text="" dxfId="420">
      <formula>$D812="TH+"</formula>
    </cfRule>
    <cfRule type="expression" priority="419" aboveAverage="0" equalAverage="0" bottom="0" percent="0" rank="0" text="" dxfId="421">
      <formula>$D812="TH+ IN"</formula>
    </cfRule>
    <cfRule type="expression" priority="420" aboveAverage="0" equalAverage="0" bottom="0" percent="0" rank="0" text="" dxfId="422">
      <formula>$D812="NOVA BRASIL"</formula>
    </cfRule>
    <cfRule type="expression" priority="421" aboveAverage="0" equalAverage="0" bottom="0" percent="0" rank="0" text="" dxfId="423">
      <formula>$D812="DIFUSORA"</formula>
    </cfRule>
  </conditionalFormatting>
  <conditionalFormatting sqref="J813">
    <cfRule type="expression" priority="422" aboveAverage="0" equalAverage="0" bottom="0" percent="0" rank="0" text="" dxfId="424">
      <formula>$D813="PORTAL"</formula>
    </cfRule>
    <cfRule type="expression" priority="423" aboveAverage="0" equalAverage="0" bottom="0" percent="0" rank="0" text="" dxfId="425">
      <formula>$D813="RÁDIO 79"</formula>
    </cfRule>
    <cfRule type="expression" priority="424" aboveAverage="0" equalAverage="0" bottom="0" percent="0" rank="0" text="" dxfId="426">
      <formula>$D813="TH+"</formula>
    </cfRule>
    <cfRule type="expression" priority="425" aboveAverage="0" equalAverage="0" bottom="0" percent="0" rank="0" text="" dxfId="427">
      <formula>$D813="TH+ IN"</formula>
    </cfRule>
    <cfRule type="expression" priority="426" aboveAverage="0" equalAverage="0" bottom="0" percent="0" rank="0" text="" dxfId="428">
      <formula>$D813="NOVA BRASIL"</formula>
    </cfRule>
    <cfRule type="expression" priority="427" aboveAverage="0" equalAverage="0" bottom="0" percent="0" rank="0" text="" dxfId="429">
      <formula>$D813="DIFUSORA"</formula>
    </cfRule>
  </conditionalFormatting>
  <conditionalFormatting sqref="J814">
    <cfRule type="expression" priority="428" aboveAverage="0" equalAverage="0" bottom="0" percent="0" rank="0" text="" dxfId="430">
      <formula>$D814="PORTAL"</formula>
    </cfRule>
    <cfRule type="expression" priority="429" aboveAverage="0" equalAverage="0" bottom="0" percent="0" rank="0" text="" dxfId="431">
      <formula>$D814="RÁDIO 79"</formula>
    </cfRule>
    <cfRule type="expression" priority="430" aboveAverage="0" equalAverage="0" bottom="0" percent="0" rank="0" text="" dxfId="432">
      <formula>$D814="TH+"</formula>
    </cfRule>
    <cfRule type="expression" priority="431" aboveAverage="0" equalAverage="0" bottom="0" percent="0" rank="0" text="" dxfId="433">
      <formula>$D814="TH+ IN"</formula>
    </cfRule>
    <cfRule type="expression" priority="432" aboveAverage="0" equalAverage="0" bottom="0" percent="0" rank="0" text="" dxfId="434">
      <formula>$D814="NOVA BRASIL"</formula>
    </cfRule>
    <cfRule type="expression" priority="433" aboveAverage="0" equalAverage="0" bottom="0" percent="0" rank="0" text="" dxfId="435">
      <formula>$D814="DIFUSORA"</formula>
    </cfRule>
  </conditionalFormatting>
  <conditionalFormatting sqref="J815">
    <cfRule type="expression" priority="434" aboveAverage="0" equalAverage="0" bottom="0" percent="0" rank="0" text="" dxfId="436">
      <formula>$D815="PORTAL"</formula>
    </cfRule>
    <cfRule type="expression" priority="435" aboveAverage="0" equalAverage="0" bottom="0" percent="0" rank="0" text="" dxfId="437">
      <formula>$D815="RÁDIO 79"</formula>
    </cfRule>
    <cfRule type="expression" priority="436" aboveAverage="0" equalAverage="0" bottom="0" percent="0" rank="0" text="" dxfId="438">
      <formula>$D815="TH+"</formula>
    </cfRule>
    <cfRule type="expression" priority="437" aboveAverage="0" equalAverage="0" bottom="0" percent="0" rank="0" text="" dxfId="439">
      <formula>$D815="TH+ IN"</formula>
    </cfRule>
    <cfRule type="expression" priority="438" aboveAverage="0" equalAverage="0" bottom="0" percent="0" rank="0" text="" dxfId="440">
      <formula>$D815="NOVA BRASIL"</formula>
    </cfRule>
    <cfRule type="expression" priority="439" aboveAverage="0" equalAverage="0" bottom="0" percent="0" rank="0" text="" dxfId="441">
      <formula>$D815="DIFUSORA"</formula>
    </cfRule>
  </conditionalFormatting>
  <conditionalFormatting sqref="J816">
    <cfRule type="expression" priority="440" aboveAverage="0" equalAverage="0" bottom="0" percent="0" rank="0" text="" dxfId="442">
      <formula>$D816="PORTAL"</formula>
    </cfRule>
    <cfRule type="expression" priority="441" aboveAverage="0" equalAverage="0" bottom="0" percent="0" rank="0" text="" dxfId="443">
      <formula>$D816="RÁDIO 79"</formula>
    </cfRule>
    <cfRule type="expression" priority="442" aboveAverage="0" equalAverage="0" bottom="0" percent="0" rank="0" text="" dxfId="444">
      <formula>$D816="TH+"</formula>
    </cfRule>
    <cfRule type="expression" priority="443" aboveAverage="0" equalAverage="0" bottom="0" percent="0" rank="0" text="" dxfId="445">
      <formula>$D816="TH+ IN"</formula>
    </cfRule>
    <cfRule type="expression" priority="444" aboveAverage="0" equalAverage="0" bottom="0" percent="0" rank="0" text="" dxfId="446">
      <formula>$D816="NOVA BRASIL"</formula>
    </cfRule>
    <cfRule type="expression" priority="445" aboveAverage="0" equalAverage="0" bottom="0" percent="0" rank="0" text="" dxfId="447">
      <formula>$D816="DIFUSORA"</formula>
    </cfRule>
  </conditionalFormatting>
  <conditionalFormatting sqref="J818">
    <cfRule type="expression" priority="446" aboveAverage="0" equalAverage="0" bottom="0" percent="0" rank="0" text="" dxfId="448">
      <formula>$D818="PORTAL"</formula>
    </cfRule>
    <cfRule type="expression" priority="447" aboveAverage="0" equalAverage="0" bottom="0" percent="0" rank="0" text="" dxfId="449">
      <formula>$D818="RÁDIO 79"</formula>
    </cfRule>
    <cfRule type="expression" priority="448" aboveAverage="0" equalAverage="0" bottom="0" percent="0" rank="0" text="" dxfId="450">
      <formula>$D818="TH+"</formula>
    </cfRule>
    <cfRule type="expression" priority="449" aboveAverage="0" equalAverage="0" bottom="0" percent="0" rank="0" text="" dxfId="451">
      <formula>$D818="TH+ IN"</formula>
    </cfRule>
    <cfRule type="expression" priority="450" aboveAverage="0" equalAverage="0" bottom="0" percent="0" rank="0" text="" dxfId="452">
      <formula>$D818="NOVA BRASIL"</formula>
    </cfRule>
    <cfRule type="expression" priority="451" aboveAverage="0" equalAverage="0" bottom="0" percent="0" rank="0" text="" dxfId="453">
      <formula>$D818="DIFUSORA"</formula>
    </cfRule>
  </conditionalFormatting>
  <conditionalFormatting sqref="J819">
    <cfRule type="expression" priority="452" aboveAverage="0" equalAverage="0" bottom="0" percent="0" rank="0" text="" dxfId="454">
      <formula>$D819="PORTAL"</formula>
    </cfRule>
    <cfRule type="expression" priority="453" aboveAverage="0" equalAverage="0" bottom="0" percent="0" rank="0" text="" dxfId="455">
      <formula>$D819="RÁDIO 79"</formula>
    </cfRule>
    <cfRule type="expression" priority="454" aboveAverage="0" equalAverage="0" bottom="0" percent="0" rank="0" text="" dxfId="456">
      <formula>$D819="TH+"</formula>
    </cfRule>
    <cfRule type="expression" priority="455" aboveAverage="0" equalAverage="0" bottom="0" percent="0" rank="0" text="" dxfId="457">
      <formula>$D819="TH+ IN"</formula>
    </cfRule>
    <cfRule type="expression" priority="456" aboveAverage="0" equalAverage="0" bottom="0" percent="0" rank="0" text="" dxfId="458">
      <formula>$D819="NOVA BRASIL"</formula>
    </cfRule>
    <cfRule type="expression" priority="457" aboveAverage="0" equalAverage="0" bottom="0" percent="0" rank="0" text="" dxfId="459">
      <formula>$D819="DIFUSORA"</formula>
    </cfRule>
  </conditionalFormatting>
  <conditionalFormatting sqref="J820">
    <cfRule type="expression" priority="458" aboveAverage="0" equalAverage="0" bottom="0" percent="0" rank="0" text="" dxfId="460">
      <formula>$D820="PORTAL"</formula>
    </cfRule>
    <cfRule type="expression" priority="459" aboveAverage="0" equalAverage="0" bottom="0" percent="0" rank="0" text="" dxfId="461">
      <formula>$D820="RÁDIO 79"</formula>
    </cfRule>
    <cfRule type="expression" priority="460" aboveAverage="0" equalAverage="0" bottom="0" percent="0" rank="0" text="" dxfId="462">
      <formula>$D820="TH+"</formula>
    </cfRule>
    <cfRule type="expression" priority="461" aboveAverage="0" equalAverage="0" bottom="0" percent="0" rank="0" text="" dxfId="463">
      <formula>$D820="TH+ IN"</formula>
    </cfRule>
    <cfRule type="expression" priority="462" aboveAverage="0" equalAverage="0" bottom="0" percent="0" rank="0" text="" dxfId="464">
      <formula>$D820="NOVA BRASIL"</formula>
    </cfRule>
    <cfRule type="expression" priority="463" aboveAverage="0" equalAverage="0" bottom="0" percent="0" rank="0" text="" dxfId="465">
      <formula>$D820="DIFUSORA"</formula>
    </cfRule>
  </conditionalFormatting>
  <conditionalFormatting sqref="J822:J823">
    <cfRule type="expression" priority="464" aboveAverage="0" equalAverage="0" bottom="0" percent="0" rank="0" text="" dxfId="466">
      <formula>$D822="PORTAL"</formula>
    </cfRule>
    <cfRule type="expression" priority="465" aboveAverage="0" equalAverage="0" bottom="0" percent="0" rank="0" text="" dxfId="467">
      <formula>$D822="RÁDIO 79"</formula>
    </cfRule>
    <cfRule type="expression" priority="466" aboveAverage="0" equalAverage="0" bottom="0" percent="0" rank="0" text="" dxfId="468">
      <formula>$D822="TH+"</formula>
    </cfRule>
    <cfRule type="expression" priority="467" aboveAverage="0" equalAverage="0" bottom="0" percent="0" rank="0" text="" dxfId="469">
      <formula>$D822="TH+ IN"</formula>
    </cfRule>
    <cfRule type="expression" priority="468" aboveAverage="0" equalAverage="0" bottom="0" percent="0" rank="0" text="" dxfId="470">
      <formula>$D822="NOVA BRASIL"</formula>
    </cfRule>
    <cfRule type="expression" priority="469" aboveAverage="0" equalAverage="0" bottom="0" percent="0" rank="0" text="" dxfId="471">
      <formula>$D822="DIFUSORA"</formula>
    </cfRule>
  </conditionalFormatting>
  <conditionalFormatting sqref="J825:J828">
    <cfRule type="expression" priority="470" aboveAverage="0" equalAverage="0" bottom="0" percent="0" rank="0" text="" dxfId="472">
      <formula>$D825="PORTAL"</formula>
    </cfRule>
    <cfRule type="expression" priority="471" aboveAverage="0" equalAverage="0" bottom="0" percent="0" rank="0" text="" dxfId="473">
      <formula>$D825="RÁDIO 79"</formula>
    </cfRule>
    <cfRule type="expression" priority="472" aboveAverage="0" equalAverage="0" bottom="0" percent="0" rank="0" text="" dxfId="474">
      <formula>$D825="TH+"</formula>
    </cfRule>
    <cfRule type="expression" priority="473" aboveAverage="0" equalAverage="0" bottom="0" percent="0" rank="0" text="" dxfId="475">
      <formula>$D825="TH+ IN"</formula>
    </cfRule>
    <cfRule type="expression" priority="474" aboveAverage="0" equalAverage="0" bottom="0" percent="0" rank="0" text="" dxfId="476">
      <formula>$D825="NOVA BRASIL"</formula>
    </cfRule>
    <cfRule type="expression" priority="475" aboveAverage="0" equalAverage="0" bottom="0" percent="0" rank="0" text="" dxfId="477">
      <formula>$D825="DIFUSORA"</formula>
    </cfRule>
  </conditionalFormatting>
  <conditionalFormatting sqref="J829">
    <cfRule type="expression" priority="476" aboveAverage="0" equalAverage="0" bottom="0" percent="0" rank="0" text="" dxfId="478">
      <formula>$D829="PORTAL"</formula>
    </cfRule>
    <cfRule type="expression" priority="477" aboveAverage="0" equalAverage="0" bottom="0" percent="0" rank="0" text="" dxfId="479">
      <formula>$D829="RÁDIO 79"</formula>
    </cfRule>
    <cfRule type="expression" priority="478" aboveAverage="0" equalAverage="0" bottom="0" percent="0" rank="0" text="" dxfId="480">
      <formula>$D829="TH+"</formula>
    </cfRule>
    <cfRule type="expression" priority="479" aboveAverage="0" equalAverage="0" bottom="0" percent="0" rank="0" text="" dxfId="481">
      <formula>$D829="TH+ IN"</formula>
    </cfRule>
    <cfRule type="expression" priority="480" aboveAverage="0" equalAverage="0" bottom="0" percent="0" rank="0" text="" dxfId="482">
      <formula>$D829="NOVA BRASIL"</formula>
    </cfRule>
    <cfRule type="expression" priority="481" aboveAverage="0" equalAverage="0" bottom="0" percent="0" rank="0" text="" dxfId="483">
      <formula>$D829="DIFUSORA"</formula>
    </cfRule>
  </conditionalFormatting>
  <conditionalFormatting sqref="J830">
    <cfRule type="expression" priority="482" aboveAverage="0" equalAverage="0" bottom="0" percent="0" rank="0" text="" dxfId="484">
      <formula>$D830="PORTAL"</formula>
    </cfRule>
    <cfRule type="expression" priority="483" aboveAverage="0" equalAverage="0" bottom="0" percent="0" rank="0" text="" dxfId="485">
      <formula>$D830="RÁDIO 79"</formula>
    </cfRule>
    <cfRule type="expression" priority="484" aboveAverage="0" equalAverage="0" bottom="0" percent="0" rank="0" text="" dxfId="486">
      <formula>$D830="TH+"</formula>
    </cfRule>
    <cfRule type="expression" priority="485" aboveAverage="0" equalAverage="0" bottom="0" percent="0" rank="0" text="" dxfId="487">
      <formula>$D830="TH+ IN"</formula>
    </cfRule>
    <cfRule type="expression" priority="486" aboveAverage="0" equalAverage="0" bottom="0" percent="0" rank="0" text="" dxfId="488">
      <formula>$D830="NOVA BRASIL"</formula>
    </cfRule>
    <cfRule type="expression" priority="487" aboveAverage="0" equalAverage="0" bottom="0" percent="0" rank="0" text="" dxfId="489">
      <formula>$D830="DIFUSORA"</formula>
    </cfRule>
  </conditionalFormatting>
  <conditionalFormatting sqref="H812">
    <cfRule type="expression" priority="488" aboveAverage="0" equalAverage="0" bottom="0" percent="0" rank="0" text="" dxfId="490">
      <formula>$D812="PORTAL"</formula>
    </cfRule>
    <cfRule type="expression" priority="489" aboveAverage="0" equalAverage="0" bottom="0" percent="0" rank="0" text="" dxfId="491">
      <formula>$D812="RÁDIO 79"</formula>
    </cfRule>
    <cfRule type="expression" priority="490" aboveAverage="0" equalAverage="0" bottom="0" percent="0" rank="0" text="" dxfId="492">
      <formula>$D812="TH+"</formula>
    </cfRule>
    <cfRule type="expression" priority="491" aboveAverage="0" equalAverage="0" bottom="0" percent="0" rank="0" text="" dxfId="493">
      <formula>$D812="TH+ IN"</formula>
    </cfRule>
    <cfRule type="expression" priority="492" aboveAverage="0" equalAverage="0" bottom="0" percent="0" rank="0" text="" dxfId="494">
      <formula>$D812="NOVA BRASIL"</formula>
    </cfRule>
    <cfRule type="expression" priority="493" aboveAverage="0" equalAverage="0" bottom="0" percent="0" rank="0" text="" dxfId="495">
      <formula>$D812="DIFUSORA"</formula>
    </cfRule>
  </conditionalFormatting>
  <conditionalFormatting sqref="H813">
    <cfRule type="expression" priority="494" aboveAverage="0" equalAverage="0" bottom="0" percent="0" rank="0" text="" dxfId="496">
      <formula>$D813="PORTAL"</formula>
    </cfRule>
    <cfRule type="expression" priority="495" aboveAverage="0" equalAverage="0" bottom="0" percent="0" rank="0" text="" dxfId="497">
      <formula>$D813="RÁDIO 79"</formula>
    </cfRule>
    <cfRule type="expression" priority="496" aboveAverage="0" equalAverage="0" bottom="0" percent="0" rank="0" text="" dxfId="498">
      <formula>$D813="TH+"</formula>
    </cfRule>
    <cfRule type="expression" priority="497" aboveAverage="0" equalAverage="0" bottom="0" percent="0" rank="0" text="" dxfId="499">
      <formula>$D813="TH+ IN"</formula>
    </cfRule>
    <cfRule type="expression" priority="498" aboveAverage="0" equalAverage="0" bottom="0" percent="0" rank="0" text="" dxfId="500">
      <formula>$D813="NOVA BRASIL"</formula>
    </cfRule>
    <cfRule type="expression" priority="499" aboveAverage="0" equalAverage="0" bottom="0" percent="0" rank="0" text="" dxfId="501">
      <formula>$D813="DIFUSORA"</formula>
    </cfRule>
  </conditionalFormatting>
  <conditionalFormatting sqref="H811">
    <cfRule type="expression" priority="500" aboveAverage="0" equalAverage="0" bottom="0" percent="0" rank="0" text="" dxfId="502">
      <formula>$D811="PORTAL"</formula>
    </cfRule>
    <cfRule type="expression" priority="501" aboveAverage="0" equalAverage="0" bottom="0" percent="0" rank="0" text="" dxfId="503">
      <formula>$D811="RÁDIO 79"</formula>
    </cfRule>
    <cfRule type="expression" priority="502" aboveAverage="0" equalAverage="0" bottom="0" percent="0" rank="0" text="" dxfId="504">
      <formula>$D811="TH+"</formula>
    </cfRule>
    <cfRule type="expression" priority="503" aboveAverage="0" equalAverage="0" bottom="0" percent="0" rank="0" text="" dxfId="505">
      <formula>$D811="TH+ IN"</formula>
    </cfRule>
    <cfRule type="expression" priority="504" aboveAverage="0" equalAverage="0" bottom="0" percent="0" rank="0" text="" dxfId="506">
      <formula>$D811="NOVA BRASIL"</formula>
    </cfRule>
    <cfRule type="expression" priority="505" aboveAverage="0" equalAverage="0" bottom="0" percent="0" rank="0" text="" dxfId="507">
      <formula>$D811="DIFUSORA"</formula>
    </cfRule>
  </conditionalFormatting>
  <conditionalFormatting sqref="H812">
    <cfRule type="expression" priority="506" aboveAverage="0" equalAverage="0" bottom="0" percent="0" rank="0" text="" dxfId="508">
      <formula>$D812="PORTAL"</formula>
    </cfRule>
    <cfRule type="expression" priority="507" aboveAverage="0" equalAverage="0" bottom="0" percent="0" rank="0" text="" dxfId="509">
      <formula>$D812="RÁDIO 79"</formula>
    </cfRule>
    <cfRule type="expression" priority="508" aboveAverage="0" equalAverage="0" bottom="0" percent="0" rank="0" text="" dxfId="510">
      <formula>$D812="TH+"</formula>
    </cfRule>
    <cfRule type="expression" priority="509" aboveAverage="0" equalAverage="0" bottom="0" percent="0" rank="0" text="" dxfId="511">
      <formula>$D812="TH+ IN"</formula>
    </cfRule>
    <cfRule type="expression" priority="510" aboveAverage="0" equalAverage="0" bottom="0" percent="0" rank="0" text="" dxfId="512">
      <formula>$D812="NOVA BRASIL"</formula>
    </cfRule>
    <cfRule type="expression" priority="511" aboveAverage="0" equalAverage="0" bottom="0" percent="0" rank="0" text="" dxfId="513">
      <formula>$D812="DIFUSORA"</formula>
    </cfRule>
  </conditionalFormatting>
  <conditionalFormatting sqref="H813">
    <cfRule type="expression" priority="512" aboveAverage="0" equalAverage="0" bottom="0" percent="0" rank="0" text="" dxfId="514">
      <formula>$D813="PORTAL"</formula>
    </cfRule>
    <cfRule type="expression" priority="513" aboveAverage="0" equalAverage="0" bottom="0" percent="0" rank="0" text="" dxfId="515">
      <formula>$D813="RÁDIO 79"</formula>
    </cfRule>
    <cfRule type="expression" priority="514" aboveAverage="0" equalAverage="0" bottom="0" percent="0" rank="0" text="" dxfId="516">
      <formula>$D813="TH+"</formula>
    </cfRule>
    <cfRule type="expression" priority="515" aboveAverage="0" equalAverage="0" bottom="0" percent="0" rank="0" text="" dxfId="517">
      <formula>$D813="TH+ IN"</formula>
    </cfRule>
    <cfRule type="expression" priority="516" aboveAverage="0" equalAverage="0" bottom="0" percent="0" rank="0" text="" dxfId="518">
      <formula>$D813="NOVA BRASIL"</formula>
    </cfRule>
    <cfRule type="expression" priority="517" aboveAverage="0" equalAverage="0" bottom="0" percent="0" rank="0" text="" dxfId="519">
      <formula>$D813="DIFUSORA"</formula>
    </cfRule>
  </conditionalFormatting>
  <conditionalFormatting sqref="H814">
    <cfRule type="expression" priority="518" aboveAverage="0" equalAverage="0" bottom="0" percent="0" rank="0" text="" dxfId="520">
      <formula>$D814="PORTAL"</formula>
    </cfRule>
    <cfRule type="expression" priority="519" aboveAverage="0" equalAverage="0" bottom="0" percent="0" rank="0" text="" dxfId="521">
      <formula>$D814="RÁDIO 79"</formula>
    </cfRule>
    <cfRule type="expression" priority="520" aboveAverage="0" equalAverage="0" bottom="0" percent="0" rank="0" text="" dxfId="522">
      <formula>$D814="TH+"</formula>
    </cfRule>
    <cfRule type="expression" priority="521" aboveAverage="0" equalAverage="0" bottom="0" percent="0" rank="0" text="" dxfId="523">
      <formula>$D814="TH+ IN"</formula>
    </cfRule>
    <cfRule type="expression" priority="522" aboveAverage="0" equalAverage="0" bottom="0" percent="0" rank="0" text="" dxfId="524">
      <formula>$D814="NOVA BRASIL"</formula>
    </cfRule>
    <cfRule type="expression" priority="523" aboveAverage="0" equalAverage="0" bottom="0" percent="0" rank="0" text="" dxfId="525">
      <formula>$D814="DIFUSORA"</formula>
    </cfRule>
  </conditionalFormatting>
  <conditionalFormatting sqref="H815">
    <cfRule type="expression" priority="524" aboveAverage="0" equalAverage="0" bottom="0" percent="0" rank="0" text="" dxfId="526">
      <formula>$D815="PORTAL"</formula>
    </cfRule>
    <cfRule type="expression" priority="525" aboveAverage="0" equalAverage="0" bottom="0" percent="0" rank="0" text="" dxfId="527">
      <formula>$D815="RÁDIO 79"</formula>
    </cfRule>
    <cfRule type="expression" priority="526" aboveAverage="0" equalAverage="0" bottom="0" percent="0" rank="0" text="" dxfId="528">
      <formula>$D815="TH+"</formula>
    </cfRule>
    <cfRule type="expression" priority="527" aboveAverage="0" equalAverage="0" bottom="0" percent="0" rank="0" text="" dxfId="529">
      <formula>$D815="TH+ IN"</formula>
    </cfRule>
    <cfRule type="expression" priority="528" aboveAverage="0" equalAverage="0" bottom="0" percent="0" rank="0" text="" dxfId="530">
      <formula>$D815="NOVA BRASIL"</formula>
    </cfRule>
    <cfRule type="expression" priority="529" aboveAverage="0" equalAverage="0" bottom="0" percent="0" rank="0" text="" dxfId="531">
      <formula>$D815="DIFUSORA"</formula>
    </cfRule>
  </conditionalFormatting>
  <conditionalFormatting sqref="H816">
    <cfRule type="expression" priority="530" aboveAverage="0" equalAverage="0" bottom="0" percent="0" rank="0" text="" dxfId="532">
      <formula>$D816="PORTAL"</formula>
    </cfRule>
    <cfRule type="expression" priority="531" aboveAverage="0" equalAverage="0" bottom="0" percent="0" rank="0" text="" dxfId="533">
      <formula>$D816="RÁDIO 79"</formula>
    </cfRule>
    <cfRule type="expression" priority="532" aboveAverage="0" equalAverage="0" bottom="0" percent="0" rank="0" text="" dxfId="534">
      <formula>$D816="TH+"</formula>
    </cfRule>
    <cfRule type="expression" priority="533" aboveAverage="0" equalAverage="0" bottom="0" percent="0" rank="0" text="" dxfId="535">
      <formula>$D816="TH+ IN"</formula>
    </cfRule>
    <cfRule type="expression" priority="534" aboveAverage="0" equalAverage="0" bottom="0" percent="0" rank="0" text="" dxfId="536">
      <formula>$D816="NOVA BRASIL"</formula>
    </cfRule>
    <cfRule type="expression" priority="535" aboveAverage="0" equalAverage="0" bottom="0" percent="0" rank="0" text="" dxfId="537">
      <formula>$D816="DIFUSORA"</formula>
    </cfRule>
  </conditionalFormatting>
  <conditionalFormatting sqref="H818">
    <cfRule type="expression" priority="536" aboveAverage="0" equalAverage="0" bottom="0" percent="0" rank="0" text="" dxfId="538">
      <formula>$D818="PORTAL"</formula>
    </cfRule>
    <cfRule type="expression" priority="537" aboveAverage="0" equalAverage="0" bottom="0" percent="0" rank="0" text="" dxfId="539">
      <formula>$D818="RÁDIO 79"</formula>
    </cfRule>
    <cfRule type="expression" priority="538" aboveAverage="0" equalAverage="0" bottom="0" percent="0" rank="0" text="" dxfId="540">
      <formula>$D818="TH+"</formula>
    </cfRule>
    <cfRule type="expression" priority="539" aboveAverage="0" equalAverage="0" bottom="0" percent="0" rank="0" text="" dxfId="541">
      <formula>$D818="TH+ IN"</formula>
    </cfRule>
    <cfRule type="expression" priority="540" aboveAverage="0" equalAverage="0" bottom="0" percent="0" rank="0" text="" dxfId="542">
      <formula>$D818="NOVA BRASIL"</formula>
    </cfRule>
    <cfRule type="expression" priority="541" aboveAverage="0" equalAverage="0" bottom="0" percent="0" rank="0" text="" dxfId="543">
      <formula>$D818="DIFUSORA"</formula>
    </cfRule>
  </conditionalFormatting>
  <conditionalFormatting sqref="H819">
    <cfRule type="expression" priority="542" aboveAverage="0" equalAverage="0" bottom="0" percent="0" rank="0" text="" dxfId="544">
      <formula>$D819="PORTAL"</formula>
    </cfRule>
    <cfRule type="expression" priority="543" aboveAverage="0" equalAverage="0" bottom="0" percent="0" rank="0" text="" dxfId="545">
      <formula>$D819="RÁDIO 79"</formula>
    </cfRule>
    <cfRule type="expression" priority="544" aboveAverage="0" equalAverage="0" bottom="0" percent="0" rank="0" text="" dxfId="546">
      <formula>$D819="TH+"</formula>
    </cfRule>
    <cfRule type="expression" priority="545" aboveAverage="0" equalAverage="0" bottom="0" percent="0" rank="0" text="" dxfId="547">
      <formula>$D819="TH+ IN"</formula>
    </cfRule>
    <cfRule type="expression" priority="546" aboveAverage="0" equalAverage="0" bottom="0" percent="0" rank="0" text="" dxfId="548">
      <formula>$D819="NOVA BRASIL"</formula>
    </cfRule>
    <cfRule type="expression" priority="547" aboveAverage="0" equalAverage="0" bottom="0" percent="0" rank="0" text="" dxfId="549">
      <formula>$D819="DIFUSORA"</formula>
    </cfRule>
  </conditionalFormatting>
  <conditionalFormatting sqref="H820">
    <cfRule type="expression" priority="548" aboveAverage="0" equalAverage="0" bottom="0" percent="0" rank="0" text="" dxfId="550">
      <formula>$D820="PORTAL"</formula>
    </cfRule>
    <cfRule type="expression" priority="549" aboveAverage="0" equalAverage="0" bottom="0" percent="0" rank="0" text="" dxfId="551">
      <formula>$D820="RÁDIO 79"</formula>
    </cfRule>
    <cfRule type="expression" priority="550" aboveAverage="0" equalAverage="0" bottom="0" percent="0" rank="0" text="" dxfId="552">
      <formula>$D820="TH+"</formula>
    </cfRule>
    <cfRule type="expression" priority="551" aboveAverage="0" equalAverage="0" bottom="0" percent="0" rank="0" text="" dxfId="553">
      <formula>$D820="TH+ IN"</formula>
    </cfRule>
    <cfRule type="expression" priority="552" aboveAverage="0" equalAverage="0" bottom="0" percent="0" rank="0" text="" dxfId="554">
      <formula>$D820="NOVA BRASIL"</formula>
    </cfRule>
    <cfRule type="expression" priority="553" aboveAverage="0" equalAverage="0" bottom="0" percent="0" rank="0" text="" dxfId="555">
      <formula>$D820="DIFUSORA"</formula>
    </cfRule>
  </conditionalFormatting>
  <conditionalFormatting sqref="H822:H823">
    <cfRule type="expression" priority="554" aboveAverage="0" equalAverage="0" bottom="0" percent="0" rank="0" text="" dxfId="556">
      <formula>$D822="PORTAL"</formula>
    </cfRule>
    <cfRule type="expression" priority="555" aboveAverage="0" equalAverage="0" bottom="0" percent="0" rank="0" text="" dxfId="557">
      <formula>$D822="RÁDIO 79"</formula>
    </cfRule>
    <cfRule type="expression" priority="556" aboveAverage="0" equalAverage="0" bottom="0" percent="0" rank="0" text="" dxfId="558">
      <formula>$D822="TH+"</formula>
    </cfRule>
    <cfRule type="expression" priority="557" aboveAverage="0" equalAverage="0" bottom="0" percent="0" rank="0" text="" dxfId="559">
      <formula>$D822="TH+ IN"</formula>
    </cfRule>
    <cfRule type="expression" priority="558" aboveAverage="0" equalAverage="0" bottom="0" percent="0" rank="0" text="" dxfId="560">
      <formula>$D822="NOVA BRASIL"</formula>
    </cfRule>
    <cfRule type="expression" priority="559" aboveAverage="0" equalAverage="0" bottom="0" percent="0" rank="0" text="" dxfId="561">
      <formula>$D822="DIFUSORA"</formula>
    </cfRule>
  </conditionalFormatting>
  <conditionalFormatting sqref="H825:H828">
    <cfRule type="expression" priority="560" aboveAverage="0" equalAverage="0" bottom="0" percent="0" rank="0" text="" dxfId="562">
      <formula>$D825="PORTAL"</formula>
    </cfRule>
    <cfRule type="expression" priority="561" aboveAverage="0" equalAverage="0" bottom="0" percent="0" rank="0" text="" dxfId="563">
      <formula>$D825="RÁDIO 79"</formula>
    </cfRule>
    <cfRule type="expression" priority="562" aboveAverage="0" equalAverage="0" bottom="0" percent="0" rank="0" text="" dxfId="564">
      <formula>$D825="TH+"</formula>
    </cfRule>
    <cfRule type="expression" priority="563" aboveAverage="0" equalAverage="0" bottom="0" percent="0" rank="0" text="" dxfId="565">
      <formula>$D825="TH+ IN"</formula>
    </cfRule>
    <cfRule type="expression" priority="564" aboveAverage="0" equalAverage="0" bottom="0" percent="0" rank="0" text="" dxfId="566">
      <formula>$D825="NOVA BRASIL"</formula>
    </cfRule>
    <cfRule type="expression" priority="565" aboveAverage="0" equalAverage="0" bottom="0" percent="0" rank="0" text="" dxfId="567">
      <formula>$D825="DIFUSORA"</formula>
    </cfRule>
  </conditionalFormatting>
  <conditionalFormatting sqref="H829">
    <cfRule type="expression" priority="566" aboveAverage="0" equalAverage="0" bottom="0" percent="0" rank="0" text="" dxfId="568">
      <formula>$D829="PORTAL"</formula>
    </cfRule>
    <cfRule type="expression" priority="567" aboveAverage="0" equalAverage="0" bottom="0" percent="0" rank="0" text="" dxfId="569">
      <formula>$D829="RÁDIO 79"</formula>
    </cfRule>
    <cfRule type="expression" priority="568" aboveAverage="0" equalAverage="0" bottom="0" percent="0" rank="0" text="" dxfId="570">
      <formula>$D829="TH+"</formula>
    </cfRule>
    <cfRule type="expression" priority="569" aboveAverage="0" equalAverage="0" bottom="0" percent="0" rank="0" text="" dxfId="571">
      <formula>$D829="TH+ IN"</formula>
    </cfRule>
    <cfRule type="expression" priority="570" aboveAverage="0" equalAverage="0" bottom="0" percent="0" rank="0" text="" dxfId="572">
      <formula>$D829="NOVA BRASIL"</formula>
    </cfRule>
    <cfRule type="expression" priority="571" aboveAverage="0" equalAverage="0" bottom="0" percent="0" rank="0" text="" dxfId="573">
      <formula>$D829="DIFUSORA"</formula>
    </cfRule>
  </conditionalFormatting>
  <conditionalFormatting sqref="H830">
    <cfRule type="expression" priority="572" aboveAverage="0" equalAverage="0" bottom="0" percent="0" rank="0" text="" dxfId="574">
      <formula>$D830="PORTAL"</formula>
    </cfRule>
    <cfRule type="expression" priority="573" aboveAverage="0" equalAverage="0" bottom="0" percent="0" rank="0" text="" dxfId="575">
      <formula>$D830="RÁDIO 79"</formula>
    </cfRule>
    <cfRule type="expression" priority="574" aboveAverage="0" equalAverage="0" bottom="0" percent="0" rank="0" text="" dxfId="576">
      <formula>$D830="TH+"</formula>
    </cfRule>
    <cfRule type="expression" priority="575" aboveAverage="0" equalAverage="0" bottom="0" percent="0" rank="0" text="" dxfId="577">
      <formula>$D830="TH+ IN"</formula>
    </cfRule>
    <cfRule type="expression" priority="576" aboveAverage="0" equalAverage="0" bottom="0" percent="0" rank="0" text="" dxfId="578">
      <formula>$D830="NOVA BRASIL"</formula>
    </cfRule>
    <cfRule type="expression" priority="577" aboveAverage="0" equalAverage="0" bottom="0" percent="0" rank="0" text="" dxfId="579">
      <formula>$D830="DIFUSORA"</formula>
    </cfRule>
  </conditionalFormatting>
  <conditionalFormatting sqref="H831">
    <cfRule type="expression" priority="578" aboveAverage="0" equalAverage="0" bottom="0" percent="0" rank="0" text="" dxfId="580">
      <formula>$D831="PORTAL"</formula>
    </cfRule>
    <cfRule type="expression" priority="579" aboveAverage="0" equalAverage="0" bottom="0" percent="0" rank="0" text="" dxfId="581">
      <formula>$D831="RÁDIO 79"</formula>
    </cfRule>
    <cfRule type="expression" priority="580" aboveAverage="0" equalAverage="0" bottom="0" percent="0" rank="0" text="" dxfId="582">
      <formula>$D831="TH+"</formula>
    </cfRule>
    <cfRule type="expression" priority="581" aboveAverage="0" equalAverage="0" bottom="0" percent="0" rank="0" text="" dxfId="583">
      <formula>$D831="TH+ IN"</formula>
    </cfRule>
    <cfRule type="expression" priority="582" aboveAverage="0" equalAverage="0" bottom="0" percent="0" rank="0" text="" dxfId="584">
      <formula>$D831="NOVA BRASIL"</formula>
    </cfRule>
    <cfRule type="expression" priority="583" aboveAverage="0" equalAverage="0" bottom="0" percent="0" rank="0" text="" dxfId="585">
      <formula>$D831="DIFUSORA"</formula>
    </cfRule>
  </conditionalFormatting>
  <conditionalFormatting sqref="H832">
    <cfRule type="expression" priority="584" aboveAverage="0" equalAverage="0" bottom="0" percent="0" rank="0" text="" dxfId="586">
      <formula>$D832="PORTAL"</formula>
    </cfRule>
    <cfRule type="expression" priority="585" aboveAverage="0" equalAverage="0" bottom="0" percent="0" rank="0" text="" dxfId="587">
      <formula>$D832="RÁDIO 79"</formula>
    </cfRule>
    <cfRule type="expression" priority="586" aboveAverage="0" equalAverage="0" bottom="0" percent="0" rank="0" text="" dxfId="588">
      <formula>$D832="TH+"</formula>
    </cfRule>
    <cfRule type="expression" priority="587" aboveAverage="0" equalAverage="0" bottom="0" percent="0" rank="0" text="" dxfId="589">
      <formula>$D832="TH+ IN"</formula>
    </cfRule>
    <cfRule type="expression" priority="588" aboveAverage="0" equalAverage="0" bottom="0" percent="0" rank="0" text="" dxfId="590">
      <formula>$D832="NOVA BRASIL"</formula>
    </cfRule>
    <cfRule type="expression" priority="589" aboveAverage="0" equalAverage="0" bottom="0" percent="0" rank="0" text="" dxfId="591">
      <formula>$D832="DIFUSORA"</formula>
    </cfRule>
  </conditionalFormatting>
  <conditionalFormatting sqref="C842:C845">
    <cfRule type="expression" priority="590" aboveAverage="0" equalAverage="0" bottom="0" percent="0" rank="0" text="" dxfId="592">
      <formula>#ref!="PORTAL"</formula>
    </cfRule>
    <cfRule type="expression" priority="591" aboveAverage="0" equalAverage="0" bottom="0" percent="0" rank="0" text="" dxfId="593">
      <formula>#ref!="RÁDIO 79"</formula>
    </cfRule>
    <cfRule type="expression" priority="592" aboveAverage="0" equalAverage="0" bottom="0" percent="0" rank="0" text="" dxfId="594">
      <formula>#ref!="TH+"</formula>
    </cfRule>
    <cfRule type="expression" priority="593" aboveAverage="0" equalAverage="0" bottom="0" percent="0" rank="0" text="" dxfId="595">
      <formula>#ref!="TH+ IN"</formula>
    </cfRule>
    <cfRule type="expression" priority="594" aboveAverage="0" equalAverage="0" bottom="0" percent="0" rank="0" text="" dxfId="596">
      <formula>#ref!="NOVA BRASIL"</formula>
    </cfRule>
    <cfRule type="expression" priority="595" aboveAverage="0" equalAverage="0" bottom="0" percent="0" rank="0" text="" dxfId="597">
      <formula>#ref!="DIFUSORA"</formula>
    </cfRule>
  </conditionalFormatting>
  <conditionalFormatting sqref="C860 A860">
    <cfRule type="expression" priority="596" aboveAverage="0" equalAverage="0" bottom="0" percent="0" rank="0" text="" dxfId="598">
      <formula>#ref!="PORTAL"</formula>
    </cfRule>
    <cfRule type="expression" priority="597" aboveAverage="0" equalAverage="0" bottom="0" percent="0" rank="0" text="" dxfId="599">
      <formula>#ref!="TH+ PRIME"</formula>
    </cfRule>
    <cfRule type="expression" priority="598" aboveAverage="0" equalAverage="0" bottom="0" percent="0" rank="0" text="" dxfId="600">
      <formula>#ref!="TH+"</formula>
    </cfRule>
    <cfRule type="expression" priority="599" aboveAverage="0" equalAverage="0" bottom="0" percent="0" rank="0" text="" dxfId="601">
      <formula>#ref!="TH+ IN"</formula>
    </cfRule>
    <cfRule type="expression" priority="600" aboveAverage="0" equalAverage="0" bottom="0" percent="0" rank="0" text="" dxfId="602">
      <formula>#ref!="NOVA BRASIL"</formula>
    </cfRule>
    <cfRule type="expression" priority="601" aboveAverage="0" equalAverage="0" bottom="0" percent="0" rank="0" text="" dxfId="603">
      <formula>#ref!="DIFUSORA"</formula>
    </cfRule>
  </conditionalFormatting>
  <conditionalFormatting sqref="D860">
    <cfRule type="expression" priority="602" aboveAverage="0" equalAverage="0" bottom="0" percent="0" rank="0" text="" dxfId="604">
      <formula>#ref!="PORTAL"</formula>
    </cfRule>
    <cfRule type="expression" priority="603" aboveAverage="0" equalAverage="0" bottom="0" percent="0" rank="0" text="" dxfId="605">
      <formula>#ref!="TH+ PRIME"</formula>
    </cfRule>
    <cfRule type="expression" priority="604" aboveAverage="0" equalAverage="0" bottom="0" percent="0" rank="0" text="" dxfId="606">
      <formula>#ref!="TH+"</formula>
    </cfRule>
    <cfRule type="expression" priority="605" aboveAverage="0" equalAverage="0" bottom="0" percent="0" rank="0" text="" dxfId="607">
      <formula>#ref!="TH+ IN"</formula>
    </cfRule>
    <cfRule type="expression" priority="606" aboveAverage="0" equalAverage="0" bottom="0" percent="0" rank="0" text="" dxfId="608">
      <formula>#ref!="NOVA BRASIL"</formula>
    </cfRule>
    <cfRule type="expression" priority="607" aboveAverage="0" equalAverage="0" bottom="0" percent="0" rank="0" text="" dxfId="609">
      <formula>#ref!="DIFUSORA"</formula>
    </cfRule>
  </conditionalFormatting>
  <conditionalFormatting sqref="E860">
    <cfRule type="expression" priority="608" aboveAverage="0" equalAverage="0" bottom="0" percent="0" rank="0" text="" dxfId="610">
      <formula>$D860="PORTAL"</formula>
    </cfRule>
    <cfRule type="expression" priority="609" aboveAverage="0" equalAverage="0" bottom="0" percent="0" rank="0" text="" dxfId="611">
      <formula>$D860="TH+ PRIME"</formula>
    </cfRule>
    <cfRule type="expression" priority="610" aboveAverage="0" equalAverage="0" bottom="0" percent="0" rank="0" text="" dxfId="612">
      <formula>$D860="TH+"</formula>
    </cfRule>
    <cfRule type="expression" priority="611" aboveAverage="0" equalAverage="0" bottom="0" percent="0" rank="0" text="" dxfId="613">
      <formula>$D860="TH+ IN"</formula>
    </cfRule>
    <cfRule type="expression" priority="612" aboveAverage="0" equalAverage="0" bottom="0" percent="0" rank="0" text="" dxfId="614">
      <formula>$D860="NOVA BRASIL"</formula>
    </cfRule>
    <cfRule type="expression" priority="613" aboveAverage="0" equalAverage="0" bottom="0" percent="0" rank="0" text="" dxfId="615">
      <formula>$D860="DIFUSORA"</formula>
    </cfRule>
  </conditionalFormatting>
  <conditionalFormatting sqref="J858:J859">
    <cfRule type="expression" priority="614" aboveAverage="0" equalAverage="0" bottom="0" percent="0" rank="0" text="" dxfId="616">
      <formula>$D858="PORTAL"</formula>
    </cfRule>
    <cfRule type="expression" priority="615" aboveAverage="0" equalAverage="0" bottom="0" percent="0" rank="0" text="" dxfId="617">
      <formula>$D858="RÁDIO 79"</formula>
    </cfRule>
    <cfRule type="expression" priority="616" aboveAverage="0" equalAverage="0" bottom="0" percent="0" rank="0" text="" dxfId="618">
      <formula>$D858="TH+"</formula>
    </cfRule>
    <cfRule type="expression" priority="617" aboveAverage="0" equalAverage="0" bottom="0" percent="0" rank="0" text="" dxfId="619">
      <formula>$D858="TH+ IN"</formula>
    </cfRule>
    <cfRule type="expression" priority="618" aboveAverage="0" equalAverage="0" bottom="0" percent="0" rank="0" text="" dxfId="620">
      <formula>$D858="NOVA BRASIL"</formula>
    </cfRule>
    <cfRule type="expression" priority="619" aboveAverage="0" equalAverage="0" bottom="0" percent="0" rank="0" text="" dxfId="621">
      <formula>$D858="DIFUSORA"</formula>
    </cfRule>
  </conditionalFormatting>
  <conditionalFormatting sqref="J860">
    <cfRule type="expression" priority="620" aboveAverage="0" equalAverage="0" bottom="0" percent="0" rank="0" text="" dxfId="622">
      <formula>$D860="PORTAL"</formula>
    </cfRule>
    <cfRule type="expression" priority="621" aboveAverage="0" equalAverage="0" bottom="0" percent="0" rank="0" text="" dxfId="623">
      <formula>$D860="TH+ PRIME"</formula>
    </cfRule>
    <cfRule type="expression" priority="622" aboveAverage="0" equalAverage="0" bottom="0" percent="0" rank="0" text="" dxfId="624">
      <formula>$D860="TH+"</formula>
    </cfRule>
    <cfRule type="expression" priority="623" aboveAverage="0" equalAverage="0" bottom="0" percent="0" rank="0" text="" dxfId="625">
      <formula>$D860="TH+ IN"</formula>
    </cfRule>
    <cfRule type="expression" priority="624" aboveAverage="0" equalAverage="0" bottom="0" percent="0" rank="0" text="" dxfId="626">
      <formula>$D860="NOVA BRASIL"</formula>
    </cfRule>
    <cfRule type="expression" priority="625" aboveAverage="0" equalAverage="0" bottom="0" percent="0" rank="0" text="" dxfId="627">
      <formula>$D860="DIFUSORA"</formula>
    </cfRule>
  </conditionalFormatting>
  <conditionalFormatting sqref="H853">
    <cfRule type="expression" priority="626" aboveAverage="0" equalAverage="0" bottom="0" percent="0" rank="0" text="" dxfId="628">
      <formula>$D853="PORTAL"</formula>
    </cfRule>
    <cfRule type="expression" priority="627" aboveAverage="0" equalAverage="0" bottom="0" percent="0" rank="0" text="" dxfId="629">
      <formula>$D853="RÁDIO 79"</formula>
    </cfRule>
    <cfRule type="expression" priority="628" aboveAverage="0" equalAverage="0" bottom="0" percent="0" rank="0" text="" dxfId="630">
      <formula>$D853="TH+"</formula>
    </cfRule>
    <cfRule type="expression" priority="629" aboveAverage="0" equalAverage="0" bottom="0" percent="0" rank="0" text="" dxfId="631">
      <formula>$D853="TH+ IN"</formula>
    </cfRule>
    <cfRule type="expression" priority="630" aboveAverage="0" equalAverage="0" bottom="0" percent="0" rank="0" text="" dxfId="632">
      <formula>$D853="NOVA BRASIL"</formula>
    </cfRule>
    <cfRule type="expression" priority="631" aboveAverage="0" equalAverage="0" bottom="0" percent="0" rank="0" text="" dxfId="633">
      <formula>$D853="DIFUSORA"</formula>
    </cfRule>
  </conditionalFormatting>
  <conditionalFormatting sqref="H852">
    <cfRule type="expression" priority="632" aboveAverage="0" equalAverage="0" bottom="0" percent="0" rank="0" text="" dxfId="634">
      <formula>$D852="PORTAL"</formula>
    </cfRule>
    <cfRule type="expression" priority="633" aboveAverage="0" equalAverage="0" bottom="0" percent="0" rank="0" text="" dxfId="635">
      <formula>$D852="RÁDIO 79"</formula>
    </cfRule>
    <cfRule type="expression" priority="634" aboveAverage="0" equalAverage="0" bottom="0" percent="0" rank="0" text="" dxfId="636">
      <formula>$D852="TH+"</formula>
    </cfRule>
    <cfRule type="expression" priority="635" aboveAverage="0" equalAverage="0" bottom="0" percent="0" rank="0" text="" dxfId="637">
      <formula>$D852="TH+ IN"</formula>
    </cfRule>
    <cfRule type="expression" priority="636" aboveAverage="0" equalAverage="0" bottom="0" percent="0" rank="0" text="" dxfId="638">
      <formula>$D852="NOVA BRASIL"</formula>
    </cfRule>
    <cfRule type="expression" priority="637" aboveAverage="0" equalAverage="0" bottom="0" percent="0" rank="0" text="" dxfId="639">
      <formula>$D852="DIFUSORA"</formula>
    </cfRule>
  </conditionalFormatting>
  <conditionalFormatting sqref="H857">
    <cfRule type="expression" priority="638" aboveAverage="0" equalAverage="0" bottom="0" percent="0" rank="0" text="" dxfId="640">
      <formula>$D857="PORTAL"</formula>
    </cfRule>
    <cfRule type="expression" priority="639" aboveAverage="0" equalAverage="0" bottom="0" percent="0" rank="0" text="" dxfId="641">
      <formula>$D857="RÁDIO 79"</formula>
    </cfRule>
    <cfRule type="expression" priority="640" aboveAverage="0" equalAverage="0" bottom="0" percent="0" rank="0" text="" dxfId="642">
      <formula>$D857="TH+"</formula>
    </cfRule>
    <cfRule type="expression" priority="641" aboveAverage="0" equalAverage="0" bottom="0" percent="0" rank="0" text="" dxfId="643">
      <formula>$D857="TH+ IN"</formula>
    </cfRule>
    <cfRule type="expression" priority="642" aboveAverage="0" equalAverage="0" bottom="0" percent="0" rank="0" text="" dxfId="644">
      <formula>$D857="NOVA BRASIL"</formula>
    </cfRule>
    <cfRule type="expression" priority="643" aboveAverage="0" equalAverage="0" bottom="0" percent="0" rank="0" text="" dxfId="645">
      <formula>$D857="DIFUSORA"</formula>
    </cfRule>
  </conditionalFormatting>
  <conditionalFormatting sqref="H860">
    <cfRule type="expression" priority="644" aboveAverage="0" equalAverage="0" bottom="0" percent="0" rank="0" text="" dxfId="646">
      <formula>$D860="PORTAL"</formula>
    </cfRule>
    <cfRule type="expression" priority="645" aboveAverage="0" equalAverage="0" bottom="0" percent="0" rank="0" text="" dxfId="647">
      <formula>$D860="TH+ PRIME"</formula>
    </cfRule>
    <cfRule type="expression" priority="646" aboveAverage="0" equalAverage="0" bottom="0" percent="0" rank="0" text="" dxfId="648">
      <formula>$D860="TH+"</formula>
    </cfRule>
    <cfRule type="expression" priority="647" aboveAverage="0" equalAverage="0" bottom="0" percent="0" rank="0" text="" dxfId="649">
      <formula>$D860="TH+ IN"</formula>
    </cfRule>
    <cfRule type="expression" priority="648" aboveAverage="0" equalAverage="0" bottom="0" percent="0" rank="0" text="" dxfId="650">
      <formula>$D860="NOVA BRASIL"</formula>
    </cfRule>
    <cfRule type="expression" priority="649" aboveAverage="0" equalAverage="0" bottom="0" percent="0" rank="0" text="" dxfId="651">
      <formula>$D860="DIFUSORA"</formula>
    </cfRule>
  </conditionalFormatting>
  <conditionalFormatting sqref="C821">
    <cfRule type="expression" priority="650" aboveAverage="0" equalAverage="0" bottom="0" percent="0" rank="0" text="" dxfId="652">
      <formula>#ref!="PORTAL"</formula>
    </cfRule>
    <cfRule type="expression" priority="651" aboveAverage="0" equalAverage="0" bottom="0" percent="0" rank="0" text="" dxfId="653">
      <formula>#ref!="RÁDIO 79"</formula>
    </cfRule>
    <cfRule type="expression" priority="652" aboveAverage="0" equalAverage="0" bottom="0" percent="0" rank="0" text="" dxfId="654">
      <formula>#ref!="TH+"</formula>
    </cfRule>
    <cfRule type="expression" priority="653" aboveAverage="0" equalAverage="0" bottom="0" percent="0" rank="0" text="" dxfId="655">
      <formula>#ref!="TH+ IN"</formula>
    </cfRule>
    <cfRule type="expression" priority="654" aboveAverage="0" equalAverage="0" bottom="0" percent="0" rank="0" text="" dxfId="656">
      <formula>#ref!="NOVA BRASIL"</formula>
    </cfRule>
    <cfRule type="expression" priority="655" aboveAverage="0" equalAverage="0" bottom="0" percent="0" rank="0" text="" dxfId="657">
      <formula>#ref!="DIFUSORA"</formula>
    </cfRule>
  </conditionalFormatting>
  <conditionalFormatting sqref="J821">
    <cfRule type="expression" priority="656" aboveAverage="0" equalAverage="0" bottom="0" percent="0" rank="0" text="" dxfId="658">
      <formula>$D821="PORTAL"</formula>
    </cfRule>
    <cfRule type="expression" priority="657" aboveAverage="0" equalAverage="0" bottom="0" percent="0" rank="0" text="" dxfId="659">
      <formula>$D821="RÁDIO 79"</formula>
    </cfRule>
    <cfRule type="expression" priority="658" aboveAverage="0" equalAverage="0" bottom="0" percent="0" rank="0" text="" dxfId="660">
      <formula>$D821="TH+"</formula>
    </cfRule>
    <cfRule type="expression" priority="659" aboveAverage="0" equalAverage="0" bottom="0" percent="0" rank="0" text="" dxfId="661">
      <formula>$D821="TH+ IN"</formula>
    </cfRule>
    <cfRule type="expression" priority="660" aboveAverage="0" equalAverage="0" bottom="0" percent="0" rank="0" text="" dxfId="662">
      <formula>$D821="NOVA BRASIL"</formula>
    </cfRule>
    <cfRule type="expression" priority="661" aboveAverage="0" equalAverage="0" bottom="0" percent="0" rank="0" text="" dxfId="663">
      <formula>$D821="DIFUSORA"</formula>
    </cfRule>
  </conditionalFormatting>
  <conditionalFormatting sqref="C824">
    <cfRule type="expression" priority="662" aboveAverage="0" equalAverage="0" bottom="0" percent="0" rank="0" text="" dxfId="664">
      <formula>#ref!="PORTAL"</formula>
    </cfRule>
    <cfRule type="expression" priority="663" aboveAverage="0" equalAverage="0" bottom="0" percent="0" rank="0" text="" dxfId="665">
      <formula>#ref!="RÁDIO 79"</formula>
    </cfRule>
    <cfRule type="expression" priority="664" aboveAverage="0" equalAverage="0" bottom="0" percent="0" rank="0" text="" dxfId="666">
      <formula>#ref!="TH+"</formula>
    </cfRule>
    <cfRule type="expression" priority="665" aboveAverage="0" equalAverage="0" bottom="0" percent="0" rank="0" text="" dxfId="667">
      <formula>#ref!="TH+ IN"</formula>
    </cfRule>
    <cfRule type="expression" priority="666" aboveAverage="0" equalAverage="0" bottom="0" percent="0" rank="0" text="" dxfId="668">
      <formula>#ref!="NOVA BRASIL"</formula>
    </cfRule>
    <cfRule type="expression" priority="667" aboveAverage="0" equalAverage="0" bottom="0" percent="0" rank="0" text="" dxfId="669">
      <formula>#ref!="DIFUSORA"</formula>
    </cfRule>
  </conditionalFormatting>
  <conditionalFormatting sqref="D824">
    <cfRule type="expression" priority="668" aboveAverage="0" equalAverage="0" bottom="0" percent="0" rank="0" text="" dxfId="670">
      <formula>#ref!="PORTAL"</formula>
    </cfRule>
    <cfRule type="expression" priority="669" aboveAverage="0" equalAverage="0" bottom="0" percent="0" rank="0" text="" dxfId="671">
      <formula>#ref!="RÁDIO 79"</formula>
    </cfRule>
    <cfRule type="expression" priority="670" aboveAverage="0" equalAverage="0" bottom="0" percent="0" rank="0" text="" dxfId="672">
      <formula>#ref!="TH+"</formula>
    </cfRule>
    <cfRule type="expression" priority="671" aboveAverage="0" equalAverage="0" bottom="0" percent="0" rank="0" text="" dxfId="673">
      <formula>#ref!="TH+ IN"</formula>
    </cfRule>
    <cfRule type="expression" priority="672" aboveAverage="0" equalAverage="0" bottom="0" percent="0" rank="0" text="" dxfId="674">
      <formula>#ref!="NOVA BRASIL"</formula>
    </cfRule>
    <cfRule type="expression" priority="673" aboveAverage="0" equalAverage="0" bottom="0" percent="0" rank="0" text="" dxfId="675">
      <formula>#ref!="DIFUSORA"</formula>
    </cfRule>
  </conditionalFormatting>
  <conditionalFormatting sqref="E824">
    <cfRule type="expression" priority="674" aboveAverage="0" equalAverage="0" bottom="0" percent="0" rank="0" text="" dxfId="676">
      <formula>$D824="PORTAL"</formula>
    </cfRule>
    <cfRule type="expression" priority="675" aboveAverage="0" equalAverage="0" bottom="0" percent="0" rank="0" text="" dxfId="677">
      <formula>$D824="RÁDIO 79"</formula>
    </cfRule>
    <cfRule type="expression" priority="676" aboveAverage="0" equalAverage="0" bottom="0" percent="0" rank="0" text="" dxfId="678">
      <formula>$D824="TH+"</formula>
    </cfRule>
    <cfRule type="expression" priority="677" aboveAverage="0" equalAverage="0" bottom="0" percent="0" rank="0" text="" dxfId="679">
      <formula>$D824="TH+ IN"</formula>
    </cfRule>
    <cfRule type="expression" priority="678" aboveAverage="0" equalAverage="0" bottom="0" percent="0" rank="0" text="" dxfId="680">
      <formula>$D824="NOVA BRASIL"</formula>
    </cfRule>
    <cfRule type="expression" priority="679" aboveAverage="0" equalAverage="0" bottom="0" percent="0" rank="0" text="" dxfId="681">
      <formula>$D824="DIFUSORA"</formula>
    </cfRule>
  </conditionalFormatting>
  <conditionalFormatting sqref="J824">
    <cfRule type="expression" priority="680" aboveAverage="0" equalAverage="0" bottom="0" percent="0" rank="0" text="" dxfId="682">
      <formula>$D824="PORTAL"</formula>
    </cfRule>
    <cfRule type="expression" priority="681" aboveAverage="0" equalAverage="0" bottom="0" percent="0" rank="0" text="" dxfId="683">
      <formula>$D824="RÁDIO 79"</formula>
    </cfRule>
    <cfRule type="expression" priority="682" aboveAverage="0" equalAverage="0" bottom="0" percent="0" rank="0" text="" dxfId="684">
      <formula>$D824="TH+"</formula>
    </cfRule>
    <cfRule type="expression" priority="683" aboveAverage="0" equalAverage="0" bottom="0" percent="0" rank="0" text="" dxfId="685">
      <formula>$D824="TH+ IN"</formula>
    </cfRule>
    <cfRule type="expression" priority="684" aboveAverage="0" equalAverage="0" bottom="0" percent="0" rank="0" text="" dxfId="686">
      <formula>$D824="NOVA BRASIL"</formula>
    </cfRule>
    <cfRule type="expression" priority="685" aboveAverage="0" equalAverage="0" bottom="0" percent="0" rank="0" text="" dxfId="687">
      <formula>$D824="DIFUSORA"</formula>
    </cfRule>
  </conditionalFormatting>
  <conditionalFormatting sqref="H824">
    <cfRule type="expression" priority="686" aboveAverage="0" equalAverage="0" bottom="0" percent="0" rank="0" text="" dxfId="688">
      <formula>$D824="PORTAL"</formula>
    </cfRule>
    <cfRule type="expression" priority="687" aboveAverage="0" equalAverage="0" bottom="0" percent="0" rank="0" text="" dxfId="689">
      <formula>$D824="RÁDIO 79"</formula>
    </cfRule>
    <cfRule type="expression" priority="688" aboveAverage="0" equalAverage="0" bottom="0" percent="0" rank="0" text="" dxfId="690">
      <formula>$D824="TH+"</formula>
    </cfRule>
    <cfRule type="expression" priority="689" aboveAverage="0" equalAverage="0" bottom="0" percent="0" rank="0" text="" dxfId="691">
      <formula>$D824="TH+ IN"</formula>
    </cfRule>
    <cfRule type="expression" priority="690" aboveAverage="0" equalAverage="0" bottom="0" percent="0" rank="0" text="" dxfId="692">
      <formula>$D824="NOVA BRASIL"</formula>
    </cfRule>
    <cfRule type="expression" priority="691" aboveAverage="0" equalAverage="0" bottom="0" percent="0" rank="0" text="" dxfId="693">
      <formula>$D824="DIFUSORA"</formula>
    </cfRule>
  </conditionalFormatting>
  <conditionalFormatting sqref="C841">
    <cfRule type="expression" priority="692" aboveAverage="0" equalAverage="0" bottom="0" percent="0" rank="0" text="" dxfId="694">
      <formula>#ref!="PORTAL"</formula>
    </cfRule>
    <cfRule type="expression" priority="693" aboveAverage="0" equalAverage="0" bottom="0" percent="0" rank="0" text="" dxfId="695">
      <formula>#ref!="RÁDIO 79"</formula>
    </cfRule>
    <cfRule type="expression" priority="694" aboveAverage="0" equalAverage="0" bottom="0" percent="0" rank="0" text="" dxfId="696">
      <formula>#ref!="TH+"</formula>
    </cfRule>
    <cfRule type="expression" priority="695" aboveAverage="0" equalAverage="0" bottom="0" percent="0" rank="0" text="" dxfId="697">
      <formula>#ref!="TH+ IN"</formula>
    </cfRule>
    <cfRule type="expression" priority="696" aboveAverage="0" equalAverage="0" bottom="0" percent="0" rank="0" text="" dxfId="698">
      <formula>#ref!="NOVA BRASIL"</formula>
    </cfRule>
    <cfRule type="expression" priority="697" aboveAverage="0" equalAverage="0" bottom="0" percent="0" rank="0" text="" dxfId="699">
      <formula>#ref!="DIFUSORA"</formula>
    </cfRule>
  </conditionalFormatting>
  <conditionalFormatting sqref="D841">
    <cfRule type="expression" priority="698" aboveAverage="0" equalAverage="0" bottom="0" percent="0" rank="0" text="" dxfId="700">
      <formula>#ref!="PORTAL"</formula>
    </cfRule>
    <cfRule type="expression" priority="699" aboveAverage="0" equalAverage="0" bottom="0" percent="0" rank="0" text="" dxfId="701">
      <formula>#ref!="RÁDIO 79"</formula>
    </cfRule>
    <cfRule type="expression" priority="700" aboveAverage="0" equalAverage="0" bottom="0" percent="0" rank="0" text="" dxfId="702">
      <formula>#ref!="TH+"</formula>
    </cfRule>
    <cfRule type="expression" priority="701" aboveAverage="0" equalAverage="0" bottom="0" percent="0" rank="0" text="" dxfId="703">
      <formula>#ref!="TH+ IN"</formula>
    </cfRule>
    <cfRule type="expression" priority="702" aboveAverage="0" equalAverage="0" bottom="0" percent="0" rank="0" text="" dxfId="704">
      <formula>#ref!="NOVA BRASIL"</formula>
    </cfRule>
    <cfRule type="expression" priority="703" aboveAverage="0" equalAverage="0" bottom="0" percent="0" rank="0" text="" dxfId="705">
      <formula>#ref!="DIFUSORA"</formula>
    </cfRule>
  </conditionalFormatting>
  <conditionalFormatting sqref="E841">
    <cfRule type="expression" priority="704" aboveAverage="0" equalAverage="0" bottom="0" percent="0" rank="0" text="" dxfId="706">
      <formula>$D841="PORTAL"</formula>
    </cfRule>
    <cfRule type="expression" priority="705" aboveAverage="0" equalAverage="0" bottom="0" percent="0" rank="0" text="" dxfId="707">
      <formula>$D841="RÁDIO 79"</formula>
    </cfRule>
    <cfRule type="expression" priority="706" aboveAverage="0" equalAverage="0" bottom="0" percent="0" rank="0" text="" dxfId="708">
      <formula>$D841="TH+"</formula>
    </cfRule>
    <cfRule type="expression" priority="707" aboveAverage="0" equalAverage="0" bottom="0" percent="0" rank="0" text="" dxfId="709">
      <formula>$D841="TH+ IN"</formula>
    </cfRule>
    <cfRule type="expression" priority="708" aboveAverage="0" equalAverage="0" bottom="0" percent="0" rank="0" text="" dxfId="710">
      <formula>$D841="NOVA BRASIL"</formula>
    </cfRule>
    <cfRule type="expression" priority="709" aboveAverage="0" equalAverage="0" bottom="0" percent="0" rank="0" text="" dxfId="711">
      <formula>$D841="DIFUSORA"</formula>
    </cfRule>
  </conditionalFormatting>
  <conditionalFormatting sqref="J840">
    <cfRule type="expression" priority="710" aboveAverage="0" equalAverage="0" bottom="0" percent="0" rank="0" text="" dxfId="712">
      <formula>$D840="PORTAL"</formula>
    </cfRule>
    <cfRule type="expression" priority="711" aboveAverage="0" equalAverage="0" bottom="0" percent="0" rank="0" text="" dxfId="713">
      <formula>$D840="RÁDIO 79"</formula>
    </cfRule>
    <cfRule type="expression" priority="712" aboveAverage="0" equalAverage="0" bottom="0" percent="0" rank="0" text="" dxfId="714">
      <formula>$D840="TH+"</formula>
    </cfRule>
    <cfRule type="expression" priority="713" aboveAverage="0" equalAverage="0" bottom="0" percent="0" rank="0" text="" dxfId="715">
      <formula>$D840="TH+ IN"</formula>
    </cfRule>
    <cfRule type="expression" priority="714" aboveAverage="0" equalAverage="0" bottom="0" percent="0" rank="0" text="" dxfId="716">
      <formula>$D840="NOVA BRASIL"</formula>
    </cfRule>
    <cfRule type="expression" priority="715" aboveAverage="0" equalAverage="0" bottom="0" percent="0" rank="0" text="" dxfId="717">
      <formula>$D840="DIFUSORA"</formula>
    </cfRule>
  </conditionalFormatting>
  <conditionalFormatting sqref="J841">
    <cfRule type="expression" priority="716" aboveAverage="0" equalAverage="0" bottom="0" percent="0" rank="0" text="" dxfId="718">
      <formula>$D841="PORTAL"</formula>
    </cfRule>
    <cfRule type="expression" priority="717" aboveAverage="0" equalAverage="0" bottom="0" percent="0" rank="0" text="" dxfId="719">
      <formula>$D841="RÁDIO 79"</formula>
    </cfRule>
    <cfRule type="expression" priority="718" aboveAverage="0" equalAverage="0" bottom="0" percent="0" rank="0" text="" dxfId="720">
      <formula>$D841="TH+"</formula>
    </cfRule>
    <cfRule type="expression" priority="719" aboveAverage="0" equalAverage="0" bottom="0" percent="0" rank="0" text="" dxfId="721">
      <formula>$D841="TH+ IN"</formula>
    </cfRule>
    <cfRule type="expression" priority="720" aboveAverage="0" equalAverage="0" bottom="0" percent="0" rank="0" text="" dxfId="722">
      <formula>$D841="NOVA BRASIL"</formula>
    </cfRule>
    <cfRule type="expression" priority="721" aboveAverage="0" equalAverage="0" bottom="0" percent="0" rank="0" text="" dxfId="723">
      <formula>$D841="DIFUSORA"</formula>
    </cfRule>
  </conditionalFormatting>
  <conditionalFormatting sqref="H841">
    <cfRule type="expression" priority="722" aboveAverage="0" equalAverage="0" bottom="0" percent="0" rank="0" text="" dxfId="724">
      <formula>$D841="PORTAL"</formula>
    </cfRule>
    <cfRule type="expression" priority="723" aboveAverage="0" equalAverage="0" bottom="0" percent="0" rank="0" text="" dxfId="725">
      <formula>$D841="RÁDIO 79"</formula>
    </cfRule>
    <cfRule type="expression" priority="724" aboveAverage="0" equalAverage="0" bottom="0" percent="0" rank="0" text="" dxfId="726">
      <formula>$D841="TH+"</formula>
    </cfRule>
    <cfRule type="expression" priority="725" aboveAverage="0" equalAverage="0" bottom="0" percent="0" rank="0" text="" dxfId="727">
      <formula>$D841="TH+ IN"</formula>
    </cfRule>
    <cfRule type="expression" priority="726" aboveAverage="0" equalAverage="0" bottom="0" percent="0" rank="0" text="" dxfId="728">
      <formula>$D841="NOVA BRASIL"</formula>
    </cfRule>
    <cfRule type="expression" priority="727" aboveAverage="0" equalAverage="0" bottom="0" percent="0" rank="0" text="" dxfId="729">
      <formula>$D841="DIFUSORA"</formula>
    </cfRule>
  </conditionalFormatting>
  <conditionalFormatting sqref="C859">
    <cfRule type="expression" priority="728" aboveAverage="0" equalAverage="0" bottom="0" percent="0" rank="0" text="" dxfId="730">
      <formula>#ref!="PORTAL"</formula>
    </cfRule>
    <cfRule type="expression" priority="729" aboveAverage="0" equalAverage="0" bottom="0" percent="0" rank="0" text="" dxfId="731">
      <formula>#ref!="RÁDIO 79"</formula>
    </cfRule>
    <cfRule type="expression" priority="730" aboveAverage="0" equalAverage="0" bottom="0" percent="0" rank="0" text="" dxfId="732">
      <formula>#ref!="TH+"</formula>
    </cfRule>
    <cfRule type="expression" priority="731" aboveAverage="0" equalAverage="0" bottom="0" percent="0" rank="0" text="" dxfId="733">
      <formula>#ref!="TH+ IN"</formula>
    </cfRule>
    <cfRule type="expression" priority="732" aboveAverage="0" equalAverage="0" bottom="0" percent="0" rank="0" text="" dxfId="734">
      <formula>#ref!="NOVA BRASIL"</formula>
    </cfRule>
    <cfRule type="expression" priority="733" aboveAverage="0" equalAverage="0" bottom="0" percent="0" rank="0" text="" dxfId="735">
      <formula>#ref!="DIFUSORA"</formula>
    </cfRule>
  </conditionalFormatting>
  <conditionalFormatting sqref="D859">
    <cfRule type="expression" priority="734" aboveAverage="0" equalAverage="0" bottom="0" percent="0" rank="0" text="" dxfId="736">
      <formula>#ref!="PORTAL"</formula>
    </cfRule>
    <cfRule type="expression" priority="735" aboveAverage="0" equalAverage="0" bottom="0" percent="0" rank="0" text="" dxfId="737">
      <formula>#ref!="RÁDIO 79"</formula>
    </cfRule>
    <cfRule type="expression" priority="736" aboveAverage="0" equalAverage="0" bottom="0" percent="0" rank="0" text="" dxfId="738">
      <formula>#ref!="TH+"</formula>
    </cfRule>
    <cfRule type="expression" priority="737" aboveAverage="0" equalAverage="0" bottom="0" percent="0" rank="0" text="" dxfId="739">
      <formula>#ref!="TH+ IN"</formula>
    </cfRule>
    <cfRule type="expression" priority="738" aboveAverage="0" equalAverage="0" bottom="0" percent="0" rank="0" text="" dxfId="740">
      <formula>#ref!="NOVA BRASIL"</formula>
    </cfRule>
    <cfRule type="expression" priority="739" aboveAverage="0" equalAverage="0" bottom="0" percent="0" rank="0" text="" dxfId="741">
      <formula>#ref!="DIFUSORA"</formula>
    </cfRule>
  </conditionalFormatting>
  <conditionalFormatting sqref="E859">
    <cfRule type="expression" priority="740" aboveAverage="0" equalAverage="0" bottom="0" percent="0" rank="0" text="" dxfId="742">
      <formula>$D859="PORTAL"</formula>
    </cfRule>
    <cfRule type="expression" priority="741" aboveAverage="0" equalAverage="0" bottom="0" percent="0" rank="0" text="" dxfId="743">
      <formula>$D859="RÁDIO 79"</formula>
    </cfRule>
    <cfRule type="expression" priority="742" aboveAverage="0" equalAverage="0" bottom="0" percent="0" rank="0" text="" dxfId="744">
      <formula>$D859="TH+"</formula>
    </cfRule>
    <cfRule type="expression" priority="743" aboveAverage="0" equalAverage="0" bottom="0" percent="0" rank="0" text="" dxfId="745">
      <formula>$D859="TH+ IN"</formula>
    </cfRule>
    <cfRule type="expression" priority="744" aboveAverage="0" equalAverage="0" bottom="0" percent="0" rank="0" text="" dxfId="746">
      <formula>$D859="NOVA BRASIL"</formula>
    </cfRule>
    <cfRule type="expression" priority="745" aboveAverage="0" equalAverage="0" bottom="0" percent="0" rank="0" text="" dxfId="747">
      <formula>$D859="DIFUSORA"</formula>
    </cfRule>
  </conditionalFormatting>
  <conditionalFormatting sqref="H859">
    <cfRule type="expression" priority="746" aboveAverage="0" equalAverage="0" bottom="0" percent="0" rank="0" text="" dxfId="748">
      <formula>$D859="PORTAL"</formula>
    </cfRule>
    <cfRule type="expression" priority="747" aboveAverage="0" equalAverage="0" bottom="0" percent="0" rank="0" text="" dxfId="749">
      <formula>$D859="RÁDIO 79"</formula>
    </cfRule>
    <cfRule type="expression" priority="748" aboveAverage="0" equalAverage="0" bottom="0" percent="0" rank="0" text="" dxfId="750">
      <formula>$D859="TH+"</formula>
    </cfRule>
    <cfRule type="expression" priority="749" aboveAverage="0" equalAverage="0" bottom="0" percent="0" rank="0" text="" dxfId="751">
      <formula>$D859="TH+ IN"</formula>
    </cfRule>
    <cfRule type="expression" priority="750" aboveAverage="0" equalAverage="0" bottom="0" percent="0" rank="0" text="" dxfId="752">
      <formula>$D859="NOVA BRASIL"</formula>
    </cfRule>
    <cfRule type="expression" priority="751" aboveAverage="0" equalAverage="0" bottom="0" percent="0" rank="0" text="" dxfId="753">
      <formula>$D859="DIFUSORA"</formula>
    </cfRule>
  </conditionalFormatting>
  <conditionalFormatting sqref="I452 I357 I524 I360:I361 I379:I380 I383:I384 I424:I426 I387:I388 I466">
    <cfRule type="expression" priority="752" aboveAverage="0" equalAverage="0" bottom="0" percent="0" rank="0" text="" dxfId="42">
      <formula>$D357="PORTAL"</formula>
    </cfRule>
    <cfRule type="expression" priority="753" aboveAverage="0" equalAverage="0" bottom="0" percent="0" rank="0" text="" dxfId="43">
      <formula>$D357="RÁDIO 79"</formula>
    </cfRule>
    <cfRule type="expression" priority="754" aboveAverage="0" equalAverage="0" bottom="0" percent="0" rank="0" text="" dxfId="44">
      <formula>$D357="TH+"</formula>
    </cfRule>
    <cfRule type="expression" priority="755" aboveAverage="0" equalAverage="0" bottom="0" percent="0" rank="0" text="" dxfId="45">
      <formula>$D357="TH+ IN"</formula>
    </cfRule>
    <cfRule type="expression" priority="756" aboveAverage="0" equalAverage="0" bottom="0" percent="0" rank="0" text="" dxfId="46">
      <formula>$D357="NOVA BRASIL"</formula>
    </cfRule>
    <cfRule type="expression" priority="757" aboveAverage="0" equalAverage="0" bottom="0" percent="0" rank="0" text="" dxfId="47">
      <formula>$D357="DIFUSORA"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225"/>
  <sheetViews>
    <sheetView showFormulas="false" showGridLines="true" showRowColHeaders="true" showZeros="true" rightToLeft="false" tabSelected="false" showOutlineSymbols="true" defaultGridColor="true" view="normal" topLeftCell="F204" colorId="64" zoomScale="100" zoomScaleNormal="100" zoomScalePageLayoutView="100" workbookViewId="0">
      <selection pane="topLeft" activeCell="A2" activeCellId="0" sqref="A2"/>
    </sheetView>
  </sheetViews>
  <sheetFormatPr defaultColWidth="10.2421875" defaultRowHeight="13.8" zeroHeight="false" outlineLevelRow="0" outlineLevelCol="0"/>
  <cols>
    <col collapsed="false" customWidth="true" hidden="false" outlineLevel="0" max="1" min="1" style="1" width="39.31"/>
    <col collapsed="false" customWidth="true" hidden="false" outlineLevel="0" max="2" min="2" style="1" width="7.95"/>
    <col collapsed="false" customWidth="true" hidden="false" outlineLevel="0" max="3" min="3" style="7" width="15.47"/>
    <col collapsed="false" customWidth="true" hidden="false" outlineLevel="0" max="4" min="4" style="7" width="16.21"/>
    <col collapsed="false" customWidth="true" hidden="false" outlineLevel="0" max="6" min="5" style="7" width="39.31"/>
    <col collapsed="false" customWidth="true" hidden="false" outlineLevel="0" max="7" min="7" style="1" width="39.31"/>
    <col collapsed="false" customWidth="true" hidden="false" outlineLevel="0" max="8" min="8" style="8" width="17.08"/>
    <col collapsed="false" customWidth="true" hidden="false" outlineLevel="0" max="9" min="9" style="8" width="17.7"/>
    <col collapsed="false" customWidth="true" hidden="false" outlineLevel="0" max="10" min="10" style="1" width="20.91"/>
    <col collapsed="false" customWidth="true" hidden="false" outlineLevel="0" max="11" min="11" style="1" width="20.66"/>
    <col collapsed="false" customWidth="true" hidden="false" outlineLevel="0" max="12" min="12" style="1" width="14.86"/>
    <col collapsed="false" customWidth="true" hidden="false" outlineLevel="0" max="13" min="13" style="1" width="20.05"/>
    <col collapsed="false" customWidth="true" hidden="false" outlineLevel="0" max="14" min="14" style="1" width="19.8"/>
  </cols>
  <sheetData>
    <row r="1" customFormat="false" ht="14.15" hidden="false" customHeight="false" outlineLevel="0" collapsed="false">
      <c r="A1" s="1" t="s">
        <v>0</v>
      </c>
      <c r="B1" s="1" t="s">
        <v>1</v>
      </c>
      <c r="C1" s="7" t="s">
        <v>2</v>
      </c>
      <c r="D1" s="7" t="s">
        <v>3</v>
      </c>
      <c r="E1" s="1" t="s">
        <v>331</v>
      </c>
      <c r="F1" s="1"/>
      <c r="G1" s="1" t="s">
        <v>4</v>
      </c>
      <c r="H1" s="18" t="s">
        <v>5</v>
      </c>
      <c r="I1" s="8" t="s">
        <v>332</v>
      </c>
      <c r="J1" s="19" t="s">
        <v>7</v>
      </c>
      <c r="K1" s="1" t="s">
        <v>8</v>
      </c>
      <c r="L1" s="19" t="s">
        <v>9</v>
      </c>
      <c r="M1" s="19" t="s">
        <v>10</v>
      </c>
      <c r="N1" s="20" t="s">
        <v>11</v>
      </c>
    </row>
    <row r="2" customFormat="false" ht="13.8" hidden="false" customHeight="false" outlineLevel="0" collapsed="false">
      <c r="A2" s="10" t="s">
        <v>333</v>
      </c>
      <c r="B2" s="6" t="n">
        <v>45748</v>
      </c>
      <c r="C2" s="7" t="n">
        <v>45747</v>
      </c>
      <c r="D2" s="7" t="n">
        <v>45751</v>
      </c>
      <c r="E2" s="2" t="str">
        <f aca="false">_xlfn.CONCAT(A2,D2,LEFT(G2,10))</f>
        <v>RÁDIO 7945751LEROY MERL</v>
      </c>
      <c r="F2" s="2" t="e">
        <f aca="false">VLOOKUP(E2,#REF!,1,0)</f>
        <v>#VALUE!</v>
      </c>
      <c r="G2" s="5" t="s">
        <v>126</v>
      </c>
      <c r="H2" s="8" t="n">
        <v>1016.92</v>
      </c>
      <c r="I2" s="8" t="n">
        <v>813.536</v>
      </c>
      <c r="J2" s="9"/>
      <c r="K2" s="9" t="s">
        <v>127</v>
      </c>
      <c r="M2" s="9" t="s">
        <v>128</v>
      </c>
      <c r="N2" s="1" t="str">
        <f aca="false">IFERROR(I2/L2,"-")</f>
        <v>-</v>
      </c>
    </row>
    <row r="3" customFormat="false" ht="13.8" hidden="false" customHeight="false" outlineLevel="0" collapsed="false">
      <c r="A3" s="10" t="s">
        <v>12</v>
      </c>
      <c r="B3" s="6" t="n">
        <v>45748</v>
      </c>
      <c r="C3" s="7" t="n">
        <v>45749</v>
      </c>
      <c r="D3" s="7" t="n">
        <v>45758</v>
      </c>
      <c r="E3" s="2" t="str">
        <f aca="false">_xlfn.CONCAT(A3,D3,LEFT(G3,10))</f>
        <v>DIFUSORA45758SECRETARIA</v>
      </c>
      <c r="F3" s="2" t="e">
        <f aca="false">VLOOKUP(E3,#REF!,1,0)</f>
        <v>#VALUE!</v>
      </c>
      <c r="G3" s="5" t="s">
        <v>130</v>
      </c>
      <c r="H3" s="8" t="n">
        <v>2283.1</v>
      </c>
      <c r="I3" s="8" t="n">
        <v>1826.48</v>
      </c>
      <c r="J3" s="9" t="s">
        <v>131</v>
      </c>
      <c r="K3" s="9" t="s">
        <v>132</v>
      </c>
      <c r="M3" s="9" t="s">
        <v>133</v>
      </c>
      <c r="N3" s="1" t="str">
        <f aca="false">IFERROR(I3/L3,"-")</f>
        <v>-</v>
      </c>
    </row>
    <row r="4" customFormat="false" ht="13.8" hidden="false" customHeight="false" outlineLevel="0" collapsed="false">
      <c r="A4" s="10" t="s">
        <v>333</v>
      </c>
      <c r="B4" s="6" t="n">
        <v>45748</v>
      </c>
      <c r="C4" s="7" t="n">
        <v>45750</v>
      </c>
      <c r="D4" s="7" t="n">
        <v>45758</v>
      </c>
      <c r="E4" s="2" t="str">
        <f aca="false">_xlfn.CONCAT(A4,D4,LEFT(G4,10))</f>
        <v>RÁDIO 7945758SECRETARIA</v>
      </c>
      <c r="F4" s="2" t="e">
        <f aca="false">VLOOKUP(E4,#REF!,1,0)</f>
        <v>#VALUE!</v>
      </c>
      <c r="G4" s="5" t="s">
        <v>130</v>
      </c>
      <c r="H4" s="8" t="n">
        <v>5068.78</v>
      </c>
      <c r="I4" s="8" t="n">
        <v>4055.024</v>
      </c>
      <c r="J4" s="9" t="s">
        <v>134</v>
      </c>
      <c r="K4" s="9" t="s">
        <v>127</v>
      </c>
      <c r="M4" s="9" t="s">
        <v>135</v>
      </c>
      <c r="N4" s="1" t="str">
        <f aca="false">IFERROR(I4/L4,"-")</f>
        <v>-</v>
      </c>
    </row>
    <row r="5" customFormat="false" ht="13.8" hidden="true" customHeight="false" outlineLevel="0" collapsed="false">
      <c r="A5" s="10" t="s">
        <v>12</v>
      </c>
      <c r="B5" s="6" t="n">
        <v>45748</v>
      </c>
      <c r="C5" s="7" t="n">
        <v>45756</v>
      </c>
      <c r="D5" s="7" t="n">
        <v>45759</v>
      </c>
      <c r="E5" s="2" t="str">
        <f aca="false">_xlfn.CONCAT(A5,D5,LEFT(G5,10))</f>
        <v>DIFUSORA45759ATRI COMER</v>
      </c>
      <c r="F5" s="2" t="e">
        <f aca="false">VLOOKUP(E5,#REF!,1,0)</f>
        <v>#VALUE!</v>
      </c>
      <c r="G5" s="5" t="s">
        <v>259</v>
      </c>
      <c r="H5" s="8" t="n">
        <v>1000</v>
      </c>
      <c r="I5" s="8" t="n">
        <v>800</v>
      </c>
      <c r="J5" s="9"/>
      <c r="K5" s="9" t="s">
        <v>171</v>
      </c>
      <c r="M5" s="9" t="s">
        <v>212</v>
      </c>
      <c r="N5" s="1" t="str">
        <f aca="false">IFERROR(I5/L5,"-")</f>
        <v>-</v>
      </c>
    </row>
    <row r="6" customFormat="false" ht="13.8" hidden="true" customHeight="false" outlineLevel="0" collapsed="false">
      <c r="A6" s="10" t="s">
        <v>12</v>
      </c>
      <c r="B6" s="6" t="n">
        <v>45748</v>
      </c>
      <c r="C6" s="7" t="n">
        <v>45747</v>
      </c>
      <c r="D6" s="7" t="n">
        <v>45760</v>
      </c>
      <c r="E6" s="2" t="str">
        <f aca="false">_xlfn.CONCAT(A6,D6,LEFT(G6,10))</f>
        <v>DIFUSORA45760MMS EVENTO</v>
      </c>
      <c r="F6" s="2" t="e">
        <f aca="false">VLOOKUP(E6,#REF!,1,0)</f>
        <v>#VALUE!</v>
      </c>
      <c r="G6" s="5" t="s">
        <v>136</v>
      </c>
      <c r="H6" s="8" t="n">
        <v>1500</v>
      </c>
      <c r="I6" s="8" t="n">
        <v>1500</v>
      </c>
      <c r="J6" s="9"/>
      <c r="K6" s="9" t="s">
        <v>155</v>
      </c>
      <c r="M6" s="9"/>
      <c r="N6" s="1" t="str">
        <f aca="false">IFERROR(I6/L6,"-")</f>
        <v>-</v>
      </c>
    </row>
    <row r="7" customFormat="false" ht="13.8" hidden="true" customHeight="false" outlineLevel="0" collapsed="false">
      <c r="A7" s="10" t="s">
        <v>12</v>
      </c>
      <c r="B7" s="6" t="n">
        <v>45748</v>
      </c>
      <c r="C7" s="7" t="n">
        <v>45747</v>
      </c>
      <c r="D7" s="7" t="n">
        <v>45760</v>
      </c>
      <c r="E7" s="2" t="str">
        <f aca="false">_xlfn.CONCAT(A7,D7,LEFT(G7,10))</f>
        <v>DIFUSORA45760MMS EVENTO</v>
      </c>
      <c r="F7" s="2" t="e">
        <f aca="false">VLOOKUP(E7,#REF!,1,0)</f>
        <v>#VALUE!</v>
      </c>
      <c r="G7" s="5" t="s">
        <v>136</v>
      </c>
      <c r="H7" s="8" t="n">
        <v>5000</v>
      </c>
      <c r="I7" s="8" t="n">
        <v>5000</v>
      </c>
      <c r="J7" s="9" t="s">
        <v>137</v>
      </c>
      <c r="K7" s="9" t="s">
        <v>155</v>
      </c>
      <c r="M7" s="9"/>
      <c r="N7" s="1" t="str">
        <f aca="false">IFERROR(I7/L7,"-")</f>
        <v>-</v>
      </c>
    </row>
    <row r="8" customFormat="false" ht="13.8" hidden="true" customHeight="false" outlineLevel="0" collapsed="false">
      <c r="A8" s="10" t="s">
        <v>12</v>
      </c>
      <c r="B8" s="6" t="n">
        <v>45748</v>
      </c>
      <c r="C8" s="7" t="n">
        <v>45761</v>
      </c>
      <c r="D8" s="7" t="n">
        <v>45762</v>
      </c>
      <c r="E8" s="2" t="str">
        <f aca="false">_xlfn.CONCAT(A8,D8,LEFT(G8,10))</f>
        <v>DIFUSORA45762CICAL VEIC</v>
      </c>
      <c r="F8" s="2" t="e">
        <f aca="false">VLOOKUP(E8,#REF!,1,0)</f>
        <v>#VALUE!</v>
      </c>
      <c r="G8" s="5" t="s">
        <v>138</v>
      </c>
      <c r="H8" s="8" t="n">
        <v>800</v>
      </c>
      <c r="I8" s="8" t="n">
        <v>800</v>
      </c>
      <c r="J8" s="9"/>
      <c r="K8" s="9" t="s">
        <v>171</v>
      </c>
      <c r="M8" s="9"/>
      <c r="N8" s="1" t="str">
        <f aca="false">IFERROR(I8/L8,"-")</f>
        <v>-</v>
      </c>
    </row>
    <row r="9" customFormat="false" ht="13.8" hidden="false" customHeight="false" outlineLevel="0" collapsed="false">
      <c r="A9" s="10" t="s">
        <v>334</v>
      </c>
      <c r="B9" s="6" t="n">
        <v>45748</v>
      </c>
      <c r="C9" s="7" t="n">
        <v>45761</v>
      </c>
      <c r="D9" s="7" t="n">
        <v>45762</v>
      </c>
      <c r="E9" s="2" t="str">
        <f aca="false">_xlfn.CONCAT(A9,D9,LEFT(G9,10))</f>
        <v>NOVA BRASIL45762CICAL VEIC</v>
      </c>
      <c r="F9" s="2" t="e">
        <f aca="false">VLOOKUP(E9,#REF!,1,0)</f>
        <v>#VALUE!</v>
      </c>
      <c r="G9" s="5" t="s">
        <v>138</v>
      </c>
      <c r="H9" s="8" t="n">
        <v>1000</v>
      </c>
      <c r="I9" s="8" t="n">
        <v>1000</v>
      </c>
      <c r="J9" s="9"/>
      <c r="K9" s="9" t="s">
        <v>139</v>
      </c>
      <c r="M9" s="9"/>
      <c r="N9" s="1" t="str">
        <f aca="false">IFERROR(I9/L9,"-")</f>
        <v>-</v>
      </c>
    </row>
    <row r="10" customFormat="false" ht="13.8" hidden="false" customHeight="false" outlineLevel="0" collapsed="false">
      <c r="A10" s="10" t="s">
        <v>334</v>
      </c>
      <c r="B10" s="6" t="n">
        <v>45748</v>
      </c>
      <c r="C10" s="7" t="n">
        <v>45751</v>
      </c>
      <c r="D10" s="7" t="n">
        <v>45762</v>
      </c>
      <c r="E10" s="2" t="str">
        <f aca="false">_xlfn.CONCAT(A10,D10,LEFT(G10,10))</f>
        <v>NOVA BRASIL45762SERVIÇO SO</v>
      </c>
      <c r="F10" s="2" t="e">
        <f aca="false">VLOOKUP(E10,#REF!,1,0)</f>
        <v>#VALUE!</v>
      </c>
      <c r="G10" s="5" t="s">
        <v>140</v>
      </c>
      <c r="H10" s="8" t="n">
        <v>3281.53</v>
      </c>
      <c r="I10" s="8" t="n">
        <v>3281.53</v>
      </c>
      <c r="J10" s="9"/>
      <c r="K10" s="9" t="s">
        <v>139</v>
      </c>
      <c r="M10" s="9"/>
      <c r="N10" s="1" t="str">
        <f aca="false">IFERROR(I10/L10,"-")</f>
        <v>-</v>
      </c>
    </row>
    <row r="11" customFormat="false" ht="13.8" hidden="false" customHeight="false" outlineLevel="0" collapsed="false">
      <c r="A11" s="10" t="s">
        <v>335</v>
      </c>
      <c r="B11" s="6" t="n">
        <v>45748</v>
      </c>
      <c r="C11" s="7" t="n">
        <v>45748</v>
      </c>
      <c r="D11" s="7" t="n">
        <v>45766</v>
      </c>
      <c r="E11" s="2" t="str">
        <f aca="false">_xlfn.CONCAT(A11,D11,LEFT(G11,10))</f>
        <v>TH+45766DIMETAL DI</v>
      </c>
      <c r="F11" s="2" t="e">
        <f aca="false">VLOOKUP(E11,#REF!,1,0)</f>
        <v>#VALUE!</v>
      </c>
      <c r="G11" s="5" t="s">
        <v>142</v>
      </c>
      <c r="H11" s="8" t="n">
        <v>500</v>
      </c>
      <c r="I11" s="8" t="n">
        <v>500</v>
      </c>
      <c r="J11" s="9"/>
      <c r="K11" s="9"/>
      <c r="M11" s="9"/>
      <c r="N11" s="1" t="str">
        <f aca="false">IFERROR(I11/L11,"-")</f>
        <v>-</v>
      </c>
    </row>
    <row r="12" customFormat="false" ht="13.8" hidden="false" customHeight="false" outlineLevel="0" collapsed="false">
      <c r="A12" s="10" t="s">
        <v>335</v>
      </c>
      <c r="B12" s="6" t="n">
        <v>45748</v>
      </c>
      <c r="C12" s="7" t="n">
        <v>45748</v>
      </c>
      <c r="D12" s="7" t="n">
        <v>45766</v>
      </c>
      <c r="E12" s="2" t="str">
        <f aca="false">_xlfn.CONCAT(A12,D12,LEFT(G12,10))</f>
        <v>TH+45766DROGARIA E</v>
      </c>
      <c r="F12" s="2" t="e">
        <f aca="false">VLOOKUP(E12,#REF!,1,0)</f>
        <v>#VALUE!</v>
      </c>
      <c r="G12" s="5" t="s">
        <v>143</v>
      </c>
      <c r="H12" s="8" t="n">
        <v>600</v>
      </c>
      <c r="I12" s="8" t="n">
        <v>600</v>
      </c>
      <c r="J12" s="9"/>
      <c r="K12" s="9"/>
      <c r="M12" s="9"/>
      <c r="N12" s="1" t="str">
        <f aca="false">IFERROR(I12/L12,"-")</f>
        <v>-</v>
      </c>
    </row>
    <row r="13" customFormat="false" ht="13.8" hidden="false" customHeight="false" outlineLevel="0" collapsed="false">
      <c r="A13" s="10" t="s">
        <v>335</v>
      </c>
      <c r="B13" s="6" t="n">
        <v>45748</v>
      </c>
      <c r="C13" s="7" t="n">
        <v>45748</v>
      </c>
      <c r="D13" s="7" t="n">
        <v>45766</v>
      </c>
      <c r="E13" s="2" t="str">
        <f aca="false">_xlfn.CONCAT(A13,D13,LEFT(G13,10))</f>
        <v>TH+45766EXPAMENTAL</v>
      </c>
      <c r="F13" s="2" t="e">
        <f aca="false">VLOOKUP(E13,#REF!,1,0)</f>
        <v>#VALUE!</v>
      </c>
      <c r="G13" s="5" t="s">
        <v>144</v>
      </c>
      <c r="H13" s="8" t="n">
        <v>600</v>
      </c>
      <c r="I13" s="8" t="n">
        <v>600</v>
      </c>
      <c r="J13" s="9"/>
      <c r="K13" s="9"/>
      <c r="M13" s="9"/>
      <c r="N13" s="1" t="str">
        <f aca="false">IFERROR(I13/L13,"-")</f>
        <v>-</v>
      </c>
    </row>
    <row r="14" customFormat="false" ht="13.8" hidden="false" customHeight="false" outlineLevel="0" collapsed="false">
      <c r="A14" s="10" t="s">
        <v>335</v>
      </c>
      <c r="B14" s="6" t="n">
        <v>45748</v>
      </c>
      <c r="C14" s="7" t="n">
        <v>45748</v>
      </c>
      <c r="D14" s="7" t="n">
        <v>45766</v>
      </c>
      <c r="E14" s="2" t="str">
        <f aca="false">_xlfn.CONCAT(A14,D14,LEFT(G14,10))</f>
        <v>TH+45766KITO VEICU</v>
      </c>
      <c r="F14" s="2" t="e">
        <f aca="false">VLOOKUP(E14,#REF!,1,0)</f>
        <v>#VALUE!</v>
      </c>
      <c r="G14" s="5" t="s">
        <v>145</v>
      </c>
      <c r="H14" s="8" t="n">
        <v>600</v>
      </c>
      <c r="I14" s="8" t="n">
        <v>600</v>
      </c>
      <c r="J14" s="9"/>
      <c r="K14" s="9"/>
      <c r="M14" s="9"/>
      <c r="N14" s="1" t="str">
        <f aca="false">IFERROR(I14/L14,"-")</f>
        <v>-</v>
      </c>
    </row>
    <row r="15" customFormat="false" ht="13.8" hidden="false" customHeight="false" outlineLevel="0" collapsed="false">
      <c r="A15" s="10" t="s">
        <v>335</v>
      </c>
      <c r="B15" s="6" t="n">
        <v>45748</v>
      </c>
      <c r="C15" s="7" t="n">
        <v>45751</v>
      </c>
      <c r="D15" s="7" t="n">
        <v>45766</v>
      </c>
      <c r="E15" s="2" t="str">
        <f aca="false">_xlfn.CONCAT(A15,D15,LEFT(G15,10))</f>
        <v>TH+45766THRIVE FIN</v>
      </c>
      <c r="F15" s="2" t="e">
        <f aca="false">VLOOKUP(E15,#REF!,1,0)</f>
        <v>#VALUE!</v>
      </c>
      <c r="G15" s="5" t="s">
        <v>146</v>
      </c>
      <c r="H15" s="8" t="n">
        <v>1000</v>
      </c>
      <c r="I15" s="8" t="n">
        <v>1000</v>
      </c>
      <c r="J15" s="9"/>
      <c r="K15" s="9"/>
      <c r="M15" s="9"/>
      <c r="N15" s="1" t="str">
        <f aca="false">IFERROR(I15/L15,"-")</f>
        <v>-</v>
      </c>
    </row>
    <row r="16" customFormat="false" ht="13.8" hidden="false" customHeight="false" outlineLevel="0" collapsed="false">
      <c r="A16" s="10" t="s">
        <v>334</v>
      </c>
      <c r="B16" s="6" t="n">
        <v>45748</v>
      </c>
      <c r="C16" s="7" t="n">
        <v>45758</v>
      </c>
      <c r="D16" s="7" t="n">
        <v>45771</v>
      </c>
      <c r="E16" s="2" t="str">
        <f aca="false">_xlfn.CONCAT(A16,D16,LEFT(G16,10))</f>
        <v>NOVA BRASIL45771MINISTÉRIO</v>
      </c>
      <c r="F16" s="2" t="e">
        <f aca="false">VLOOKUP(E16,#REF!,1,0)</f>
        <v>#VALUE!</v>
      </c>
      <c r="G16" s="5" t="s">
        <v>147</v>
      </c>
      <c r="H16" s="8" t="n">
        <v>2441.25</v>
      </c>
      <c r="I16" s="8" t="n">
        <v>1953</v>
      </c>
      <c r="J16" s="9" t="s">
        <v>148</v>
      </c>
      <c r="K16" s="9" t="s">
        <v>152</v>
      </c>
      <c r="M16" s="9" t="s">
        <v>149</v>
      </c>
      <c r="N16" s="1" t="str">
        <f aca="false">IFERROR(I16/L16,"-")</f>
        <v>-</v>
      </c>
    </row>
    <row r="17" customFormat="false" ht="13.8" hidden="false" customHeight="false" outlineLevel="0" collapsed="false">
      <c r="A17" s="10" t="s">
        <v>333</v>
      </c>
      <c r="B17" s="6" t="n">
        <v>45748</v>
      </c>
      <c r="C17" s="7" t="n">
        <v>45758</v>
      </c>
      <c r="D17" s="7" t="n">
        <v>45771</v>
      </c>
      <c r="E17" s="2" t="str">
        <f aca="false">_xlfn.CONCAT(A17,D17,LEFT(G17,10))</f>
        <v>RÁDIO 7945771MINISTÉRIO</v>
      </c>
      <c r="F17" s="2" t="e">
        <f aca="false">VLOOKUP(E17,#REF!,1,0)</f>
        <v>#VALUE!</v>
      </c>
      <c r="G17" s="5" t="s">
        <v>147</v>
      </c>
      <c r="H17" s="8" t="n">
        <v>2639.99</v>
      </c>
      <c r="I17" s="8" t="n">
        <v>2111.992</v>
      </c>
      <c r="J17" s="9" t="s">
        <v>134</v>
      </c>
      <c r="K17" s="9" t="s">
        <v>127</v>
      </c>
      <c r="M17" s="9" t="s">
        <v>149</v>
      </c>
      <c r="N17" s="1" t="str">
        <f aca="false">IFERROR(I17/L17,"-")</f>
        <v>-</v>
      </c>
    </row>
    <row r="18" customFormat="false" ht="13.8" hidden="false" customHeight="false" outlineLevel="0" collapsed="false">
      <c r="A18" s="10" t="s">
        <v>334</v>
      </c>
      <c r="B18" s="6" t="n">
        <v>45748</v>
      </c>
      <c r="C18" s="7" t="n">
        <v>45751</v>
      </c>
      <c r="D18" s="7" t="n">
        <v>45771</v>
      </c>
      <c r="E18" s="2" t="str">
        <f aca="false">_xlfn.CONCAT(A18,D18,LEFT(G18,10))</f>
        <v>NOVA BRASIL45771SERVIÇO SO</v>
      </c>
      <c r="F18" s="2" t="e">
        <f aca="false">VLOOKUP(E18,#REF!,1,0)</f>
        <v>#VALUE!</v>
      </c>
      <c r="G18" s="5" t="s">
        <v>140</v>
      </c>
      <c r="H18" s="8" t="n">
        <v>3281.53</v>
      </c>
      <c r="I18" s="8" t="n">
        <v>3281.53</v>
      </c>
      <c r="J18" s="9"/>
      <c r="K18" s="9" t="s">
        <v>139</v>
      </c>
      <c r="M18" s="9"/>
      <c r="N18" s="1" t="str">
        <f aca="false">IFERROR(I18/L18,"-")</f>
        <v>-</v>
      </c>
    </row>
    <row r="19" customFormat="false" ht="13.8" hidden="false" customHeight="false" outlineLevel="0" collapsed="false">
      <c r="A19" s="10" t="s">
        <v>334</v>
      </c>
      <c r="B19" s="6" t="n">
        <v>45748</v>
      </c>
      <c r="C19" s="7" t="n">
        <v>45751</v>
      </c>
      <c r="D19" s="7" t="n">
        <v>45772</v>
      </c>
      <c r="E19" s="2" t="str">
        <f aca="false">_xlfn.CONCAT(A19,D19,LEFT(G19,10))</f>
        <v>NOVA BRASIL45772COMPANHIA </v>
      </c>
      <c r="F19" s="2" t="e">
        <f aca="false">VLOOKUP(E19,#REF!,1,0)</f>
        <v>#VALUE!</v>
      </c>
      <c r="G19" s="5" t="s">
        <v>150</v>
      </c>
      <c r="H19" s="8" t="n">
        <v>2109</v>
      </c>
      <c r="I19" s="8" t="n">
        <v>1687.2</v>
      </c>
      <c r="J19" s="9"/>
      <c r="K19" s="9" t="s">
        <v>152</v>
      </c>
      <c r="M19" s="9" t="s">
        <v>151</v>
      </c>
      <c r="N19" s="1" t="str">
        <f aca="false">IFERROR(I19/L19,"-")</f>
        <v>-</v>
      </c>
    </row>
    <row r="20" customFormat="false" ht="13.8" hidden="false" customHeight="false" outlineLevel="0" collapsed="false">
      <c r="A20" s="10" t="s">
        <v>334</v>
      </c>
      <c r="B20" s="6" t="n">
        <v>45748</v>
      </c>
      <c r="C20" s="7" t="n">
        <v>45768</v>
      </c>
      <c r="D20" s="7" t="n">
        <v>45772</v>
      </c>
      <c r="E20" s="2" t="str">
        <f aca="false">_xlfn.CONCAT(A20,D20,LEFT(G20,10))</f>
        <v>NOVA BRASIL45772MINISTÉRIO</v>
      </c>
      <c r="F20" s="2" t="e">
        <f aca="false">VLOOKUP(E20,#REF!,1,0)</f>
        <v>#VALUE!</v>
      </c>
      <c r="G20" s="5" t="s">
        <v>147</v>
      </c>
      <c r="H20" s="8" t="n">
        <v>1562.4</v>
      </c>
      <c r="I20" s="8" t="n">
        <v>1249.92</v>
      </c>
      <c r="J20" s="9" t="s">
        <v>148</v>
      </c>
      <c r="K20" s="9" t="s">
        <v>152</v>
      </c>
      <c r="M20" s="9" t="s">
        <v>153</v>
      </c>
      <c r="N20" s="1" t="str">
        <f aca="false">IFERROR(I20/L20,"-")</f>
        <v>-</v>
      </c>
    </row>
    <row r="21" customFormat="false" ht="13.8" hidden="false" customHeight="false" outlineLevel="0" collapsed="false">
      <c r="A21" s="10" t="s">
        <v>333</v>
      </c>
      <c r="B21" s="6" t="n">
        <v>45748</v>
      </c>
      <c r="C21" s="7" t="n">
        <v>45768</v>
      </c>
      <c r="D21" s="7" t="n">
        <v>45772</v>
      </c>
      <c r="E21" s="2" t="str">
        <f aca="false">_xlfn.CONCAT(A21,D21,LEFT(G21,10))</f>
        <v>RÁDIO 7945772MINISTÉRIO</v>
      </c>
      <c r="F21" s="2" t="e">
        <f aca="false">VLOOKUP(E21,#REF!,1,0)</f>
        <v>#VALUE!</v>
      </c>
      <c r="G21" s="5" t="s">
        <v>147</v>
      </c>
      <c r="H21" s="8" t="n">
        <v>1689.59</v>
      </c>
      <c r="I21" s="8" t="n">
        <v>1351.672</v>
      </c>
      <c r="J21" s="9" t="s">
        <v>134</v>
      </c>
      <c r="K21" s="9" t="s">
        <v>127</v>
      </c>
      <c r="M21" s="9" t="s">
        <v>153</v>
      </c>
      <c r="N21" s="1" t="str">
        <f aca="false">IFERROR(I21/L21,"-")</f>
        <v>-</v>
      </c>
    </row>
    <row r="22" customFormat="false" ht="13.8" hidden="false" customHeight="false" outlineLevel="0" collapsed="false">
      <c r="A22" s="10" t="s">
        <v>12</v>
      </c>
      <c r="B22" s="6" t="n">
        <v>45748</v>
      </c>
      <c r="C22" s="7" t="n">
        <v>45772</v>
      </c>
      <c r="D22" s="7" t="n">
        <v>45774</v>
      </c>
      <c r="E22" s="2" t="str">
        <f aca="false">_xlfn.CONCAT(A22,D22,LEFT(G22,10))</f>
        <v>DIFUSORA45774SEB ESCOLA</v>
      </c>
      <c r="F22" s="2" t="e">
        <f aca="false">VLOOKUP(E22,#REF!,1,0)</f>
        <v>#VALUE!</v>
      </c>
      <c r="G22" s="5" t="s">
        <v>154</v>
      </c>
      <c r="H22" s="8" t="n">
        <v>500</v>
      </c>
      <c r="I22" s="8" t="n">
        <v>500</v>
      </c>
      <c r="J22" s="9"/>
      <c r="K22" s="9" t="s">
        <v>155</v>
      </c>
      <c r="M22" s="9"/>
      <c r="N22" s="1" t="str">
        <f aca="false">IFERROR(I22/L22,"-")</f>
        <v>-</v>
      </c>
    </row>
    <row r="23" customFormat="false" ht="13.8" hidden="false" customHeight="false" outlineLevel="0" collapsed="false">
      <c r="A23" s="10" t="s">
        <v>12</v>
      </c>
      <c r="B23" s="6" t="n">
        <v>45748</v>
      </c>
      <c r="C23" s="7" t="n">
        <v>45768</v>
      </c>
      <c r="D23" s="7" t="n">
        <v>45775</v>
      </c>
      <c r="E23" s="2" t="str">
        <f aca="false">_xlfn.CONCAT(A23,D23,LEFT(G23,10))</f>
        <v>DIFUSORA45775SECRETARIA</v>
      </c>
      <c r="F23" s="2" t="e">
        <f aca="false">VLOOKUP(E23,#REF!,1,0)</f>
        <v>#VALUE!</v>
      </c>
      <c r="G23" s="5" t="s">
        <v>130</v>
      </c>
      <c r="H23" s="8" t="n">
        <v>713.47</v>
      </c>
      <c r="I23" s="8" t="n">
        <v>570.776</v>
      </c>
      <c r="J23" s="9" t="s">
        <v>131</v>
      </c>
      <c r="K23" s="9" t="s">
        <v>132</v>
      </c>
      <c r="M23" s="9" t="s">
        <v>153</v>
      </c>
      <c r="N23" s="1" t="str">
        <f aca="false">IFERROR(I23/L23,"-")</f>
        <v>-</v>
      </c>
    </row>
    <row r="24" customFormat="false" ht="13.8" hidden="false" customHeight="false" outlineLevel="0" collapsed="false">
      <c r="A24" s="10" t="s">
        <v>333</v>
      </c>
      <c r="B24" s="6" t="n">
        <v>45748</v>
      </c>
      <c r="C24" s="7" t="n">
        <v>45768</v>
      </c>
      <c r="D24" s="7" t="n">
        <v>45775</v>
      </c>
      <c r="E24" s="2" t="str">
        <f aca="false">_xlfn.CONCAT(A24,D24,LEFT(G24,10))</f>
        <v>RÁDIO 7945775SECRETARIA</v>
      </c>
      <c r="F24" s="2" t="e">
        <f aca="false">VLOOKUP(E24,#REF!,1,0)</f>
        <v>#VALUE!</v>
      </c>
      <c r="G24" s="5" t="s">
        <v>130</v>
      </c>
      <c r="H24" s="8" t="n">
        <v>1583.99</v>
      </c>
      <c r="I24" s="8" t="n">
        <v>1267.192</v>
      </c>
      <c r="J24" s="9" t="s">
        <v>134</v>
      </c>
      <c r="K24" s="9" t="s">
        <v>127</v>
      </c>
      <c r="M24" s="9" t="s">
        <v>153</v>
      </c>
      <c r="N24" s="1" t="str">
        <f aca="false">IFERROR(I24/L24,"-")</f>
        <v>-</v>
      </c>
    </row>
    <row r="25" customFormat="false" ht="13.8" hidden="false" customHeight="false" outlineLevel="0" collapsed="false">
      <c r="A25" s="10" t="s">
        <v>334</v>
      </c>
      <c r="B25" s="6" t="n">
        <v>45748</v>
      </c>
      <c r="C25" s="7" t="n">
        <v>45743</v>
      </c>
      <c r="D25" s="7" t="n">
        <v>45776</v>
      </c>
      <c r="E25" s="2" t="str">
        <f aca="false">_xlfn.CONCAT(A25,D25,LEFT(G25,10))</f>
        <v>NOVA BRASIL45776SPE URBEN </v>
      </c>
      <c r="F25" s="2" t="e">
        <f aca="false">VLOOKUP(E25,#REF!,1,0)</f>
        <v>#VALUE!</v>
      </c>
      <c r="G25" s="5" t="s">
        <v>156</v>
      </c>
      <c r="H25" s="8" t="n">
        <v>1000</v>
      </c>
      <c r="I25" s="8" t="n">
        <v>800</v>
      </c>
      <c r="J25" s="9"/>
      <c r="K25" s="9" t="s">
        <v>139</v>
      </c>
      <c r="M25" s="9" t="s">
        <v>157</v>
      </c>
      <c r="N25" s="1" t="str">
        <f aca="false">IFERROR(I25/L25,"-")</f>
        <v>-</v>
      </c>
    </row>
    <row r="26" customFormat="false" ht="13.8" hidden="false" customHeight="false" outlineLevel="0" collapsed="false">
      <c r="A26" s="5" t="s">
        <v>158</v>
      </c>
      <c r="B26" s="6" t="n">
        <v>45778</v>
      </c>
      <c r="C26" s="11" t="n">
        <v>45722</v>
      </c>
      <c r="D26" s="11" t="n">
        <v>45776</v>
      </c>
      <c r="E26" s="2" t="str">
        <f aca="false">_xlfn.CONCAT(A26,D26,LEFT(G26,10))</f>
        <v>ASSOCIAÇÃO DE ENG. ARQ. RIB PRETO45776ASSOCIAÇÃO</v>
      </c>
      <c r="F26" s="2" t="e">
        <f aca="false">VLOOKUP(E26,#REF!,1,0)</f>
        <v>#VALUE!</v>
      </c>
      <c r="G26" s="5" t="s">
        <v>158</v>
      </c>
      <c r="H26" s="8" t="n">
        <v>3334</v>
      </c>
      <c r="I26" s="8" t="n">
        <v>3334</v>
      </c>
      <c r="J26" s="9"/>
      <c r="K26" s="1" t="s">
        <v>139</v>
      </c>
      <c r="L26" s="12" t="n">
        <v>50</v>
      </c>
      <c r="N26" s="1" t="n">
        <f aca="false">IFERROR(I26/L26,"-")</f>
        <v>66.68</v>
      </c>
    </row>
    <row r="27" customFormat="false" ht="13.8" hidden="false" customHeight="false" outlineLevel="0" collapsed="false">
      <c r="A27" s="10" t="s">
        <v>335</v>
      </c>
      <c r="B27" s="6" t="n">
        <v>45748</v>
      </c>
      <c r="C27" s="7" t="n">
        <v>45743</v>
      </c>
      <c r="D27" s="7" t="n">
        <v>45777</v>
      </c>
      <c r="E27" s="2" t="str">
        <f aca="false">_xlfn.CONCAT(A27,D27,LEFT(G27,10))</f>
        <v>TH+45777ALMEIDA LI</v>
      </c>
      <c r="F27" s="2" t="e">
        <f aca="false">VLOOKUP(E27,#REF!,1,0)</f>
        <v>#VALUE!</v>
      </c>
      <c r="G27" s="5" t="s">
        <v>164</v>
      </c>
      <c r="H27" s="8" t="n">
        <v>750</v>
      </c>
      <c r="I27" s="8" t="n">
        <v>750</v>
      </c>
      <c r="J27" s="9"/>
      <c r="K27" s="9"/>
      <c r="M27" s="9"/>
      <c r="N27" s="1" t="str">
        <f aca="false">IFERROR(I27/L27,"-")</f>
        <v>-</v>
      </c>
    </row>
    <row r="28" customFormat="false" ht="13.8" hidden="false" customHeight="false" outlineLevel="0" collapsed="false">
      <c r="A28" s="10" t="s">
        <v>334</v>
      </c>
      <c r="B28" s="6" t="n">
        <v>45748</v>
      </c>
      <c r="C28" s="7" t="n">
        <v>45744</v>
      </c>
      <c r="D28" s="7" t="n">
        <v>45777</v>
      </c>
      <c r="E28" s="2" t="str">
        <f aca="false">_xlfn.CONCAT(A28,D28,LEFT(G28,10))</f>
        <v>NOVA BRASIL45777ALPINIA VE</v>
      </c>
      <c r="F28" s="2" t="e">
        <f aca="false">VLOOKUP(E28,#REF!,1,0)</f>
        <v>#VALUE!</v>
      </c>
      <c r="G28" s="5" t="s">
        <v>165</v>
      </c>
      <c r="H28" s="8" t="n">
        <v>3545.78</v>
      </c>
      <c r="I28" s="8" t="n">
        <v>2836.624</v>
      </c>
      <c r="J28" s="9"/>
      <c r="K28" s="9"/>
      <c r="M28" s="9" t="s">
        <v>166</v>
      </c>
      <c r="N28" s="1" t="str">
        <f aca="false">IFERROR(I28/L28,"-")</f>
        <v>-</v>
      </c>
    </row>
    <row r="29" customFormat="false" ht="13.8" hidden="false" customHeight="false" outlineLevel="0" collapsed="false">
      <c r="A29" s="10" t="s">
        <v>334</v>
      </c>
      <c r="B29" s="6" t="n">
        <v>45748</v>
      </c>
      <c r="C29" s="7" t="n">
        <v>45743</v>
      </c>
      <c r="D29" s="7" t="n">
        <v>45777</v>
      </c>
      <c r="E29" s="2" t="str">
        <f aca="false">_xlfn.CONCAT(A29,D29,LEFT(G29,10))</f>
        <v>NOVA BRASIL45777AMBIENT SE</v>
      </c>
      <c r="F29" s="2" t="e">
        <f aca="false">VLOOKUP(E29,#REF!,1,0)</f>
        <v>#VALUE!</v>
      </c>
      <c r="G29" s="5" t="s">
        <v>167</v>
      </c>
      <c r="H29" s="8" t="n">
        <v>12430</v>
      </c>
      <c r="I29" s="8" t="n">
        <v>12430</v>
      </c>
      <c r="J29" s="9" t="s">
        <v>168</v>
      </c>
      <c r="K29" s="9"/>
      <c r="M29" s="9"/>
      <c r="N29" s="1" t="str">
        <f aca="false">IFERROR(I29/L29,"-")</f>
        <v>-</v>
      </c>
    </row>
    <row r="30" customFormat="false" ht="13.8" hidden="false" customHeight="false" outlineLevel="0" collapsed="false">
      <c r="A30" s="10" t="s">
        <v>335</v>
      </c>
      <c r="B30" s="6" t="n">
        <v>45748</v>
      </c>
      <c r="C30" s="7" t="n">
        <v>45743</v>
      </c>
      <c r="D30" s="7" t="n">
        <v>45777</v>
      </c>
      <c r="E30" s="2" t="str">
        <f aca="false">_xlfn.CONCAT(A30,D30,LEFT(G30,10))</f>
        <v>TH+45777APEOESP SI</v>
      </c>
      <c r="F30" s="2" t="e">
        <f aca="false">VLOOKUP(E30,#REF!,1,0)</f>
        <v>#VALUE!</v>
      </c>
      <c r="G30" s="5" t="s">
        <v>169</v>
      </c>
      <c r="H30" s="8" t="n">
        <v>4270</v>
      </c>
      <c r="I30" s="8" t="n">
        <v>4270</v>
      </c>
      <c r="J30" s="9"/>
      <c r="K30" s="9"/>
      <c r="M30" s="9"/>
      <c r="N30" s="1" t="str">
        <f aca="false">IFERROR(I30/L30,"-")</f>
        <v>-</v>
      </c>
    </row>
    <row r="31" customFormat="false" ht="13.8" hidden="false" customHeight="false" outlineLevel="0" collapsed="false">
      <c r="A31" s="10" t="s">
        <v>12</v>
      </c>
      <c r="B31" s="6" t="n">
        <v>45748</v>
      </c>
      <c r="C31" s="7" t="n">
        <v>45764</v>
      </c>
      <c r="D31" s="7" t="n">
        <v>45777</v>
      </c>
      <c r="E31" s="2" t="str">
        <f aca="false">_xlfn.CONCAT(A31,D31,LEFT(G31,10))</f>
        <v>DIFUSORA45777ASSOC DOS </v>
      </c>
      <c r="F31" s="2" t="e">
        <f aca="false">VLOOKUP(E31,#REF!,1,0)</f>
        <v>#VALUE!</v>
      </c>
      <c r="G31" s="5" t="s">
        <v>170</v>
      </c>
      <c r="H31" s="8" t="n">
        <v>2975</v>
      </c>
      <c r="I31" s="8" t="n">
        <v>2380</v>
      </c>
      <c r="J31" s="9"/>
      <c r="K31" s="9" t="s">
        <v>171</v>
      </c>
      <c r="M31" s="9" t="s">
        <v>172</v>
      </c>
      <c r="N31" s="1" t="str">
        <f aca="false">IFERROR(I31/L31,"-")</f>
        <v>-</v>
      </c>
    </row>
    <row r="32" customFormat="false" ht="13.8" hidden="false" customHeight="false" outlineLevel="0" collapsed="false">
      <c r="A32" s="10" t="s">
        <v>334</v>
      </c>
      <c r="B32" s="6" t="n">
        <v>45748</v>
      </c>
      <c r="C32" s="7" t="n">
        <v>45764</v>
      </c>
      <c r="D32" s="7" t="n">
        <v>45777</v>
      </c>
      <c r="E32" s="2" t="str">
        <f aca="false">_xlfn.CONCAT(A32,D32,LEFT(G32,10))</f>
        <v>NOVA BRASIL45777ASSOC DOS </v>
      </c>
      <c r="F32" s="2" t="e">
        <f aca="false">VLOOKUP(E32,#REF!,1,0)</f>
        <v>#VALUE!</v>
      </c>
      <c r="G32" s="5" t="s">
        <v>170</v>
      </c>
      <c r="H32" s="8" t="n">
        <v>3675</v>
      </c>
      <c r="I32" s="8" t="n">
        <v>2940</v>
      </c>
      <c r="J32" s="9"/>
      <c r="K32" s="9" t="s">
        <v>139</v>
      </c>
      <c r="M32" s="9" t="s">
        <v>172</v>
      </c>
      <c r="N32" s="1" t="str">
        <f aca="false">IFERROR(I32/L32,"-")</f>
        <v>-</v>
      </c>
    </row>
    <row r="33" customFormat="false" ht="13.8" hidden="false" customHeight="false" outlineLevel="0" collapsed="false">
      <c r="A33" s="10" t="s">
        <v>334</v>
      </c>
      <c r="B33" s="6" t="n">
        <v>45748</v>
      </c>
      <c r="C33" s="7" t="n">
        <v>45747</v>
      </c>
      <c r="D33" s="7" t="n">
        <v>45777</v>
      </c>
      <c r="E33" s="2" t="str">
        <f aca="false">_xlfn.CONCAT(A33,D33,LEFT(G33,10))</f>
        <v>NOVA BRASIL45777ASSOC LOJ </v>
      </c>
      <c r="F33" s="2" t="e">
        <f aca="false">VLOOKUP(E33,#REF!,1,0)</f>
        <v>#VALUE!</v>
      </c>
      <c r="G33" s="5" t="s">
        <v>173</v>
      </c>
      <c r="H33" s="8" t="n">
        <v>5250</v>
      </c>
      <c r="I33" s="8" t="n">
        <v>4200</v>
      </c>
      <c r="J33" s="9"/>
      <c r="K33" s="9" t="s">
        <v>139</v>
      </c>
      <c r="M33" s="9" t="s">
        <v>172</v>
      </c>
      <c r="N33" s="1" t="str">
        <f aca="false">IFERROR(I33/L33,"-")</f>
        <v>-</v>
      </c>
    </row>
    <row r="34" customFormat="false" ht="13.8" hidden="true" customHeight="false" outlineLevel="0" collapsed="false">
      <c r="A34" s="10" t="s">
        <v>12</v>
      </c>
      <c r="B34" s="6" t="n">
        <v>45748</v>
      </c>
      <c r="C34" s="7" t="n">
        <v>45747</v>
      </c>
      <c r="D34" s="7" t="n">
        <v>45777</v>
      </c>
      <c r="E34" s="2" t="str">
        <f aca="false">_xlfn.CONCAT(A34,D34,LEFT(G34,10))</f>
        <v>DIFUSORA45777ASSOC LOJ </v>
      </c>
      <c r="F34" s="2" t="e">
        <f aca="false">VLOOKUP(E34,#REF!,1,0)</f>
        <v>#VALUE!</v>
      </c>
      <c r="G34" s="5" t="s">
        <v>173</v>
      </c>
      <c r="H34" s="8" t="n">
        <v>4250</v>
      </c>
      <c r="I34" s="8" t="n">
        <v>3400</v>
      </c>
      <c r="J34" s="9"/>
      <c r="K34" s="9" t="s">
        <v>171</v>
      </c>
      <c r="M34" s="9" t="s">
        <v>172</v>
      </c>
      <c r="N34" s="1" t="str">
        <f aca="false">IFERROR(I34/L34,"-")</f>
        <v>-</v>
      </c>
    </row>
    <row r="35" customFormat="false" ht="13.8" hidden="true" customHeight="false" outlineLevel="0" collapsed="false">
      <c r="A35" s="10" t="s">
        <v>12</v>
      </c>
      <c r="B35" s="6" t="n">
        <v>45748</v>
      </c>
      <c r="C35" s="7" t="n">
        <v>45761</v>
      </c>
      <c r="D35" s="7" t="n">
        <v>45777</v>
      </c>
      <c r="E35" s="2" t="str">
        <f aca="false">_xlfn.CONCAT(A35,D35,LEFT(G35,10))</f>
        <v>DIFUSORA45777ASSOC UNIF</v>
      </c>
      <c r="F35" s="2" t="e">
        <f aca="false">VLOOKUP(E35,#REF!,1,0)</f>
        <v>#VALUE!</v>
      </c>
      <c r="G35" s="5" t="s">
        <v>237</v>
      </c>
      <c r="H35" s="8" t="n">
        <v>7879.75</v>
      </c>
      <c r="I35" s="8" t="n">
        <v>6303.8</v>
      </c>
      <c r="J35" s="9"/>
      <c r="K35" s="9" t="s">
        <v>171</v>
      </c>
      <c r="M35" s="9" t="s">
        <v>336</v>
      </c>
      <c r="N35" s="1" t="str">
        <f aca="false">IFERROR(I35/L35,"-")</f>
        <v>-</v>
      </c>
    </row>
    <row r="36" customFormat="false" ht="13.8" hidden="false" customHeight="false" outlineLevel="0" collapsed="false">
      <c r="A36" s="10" t="s">
        <v>335</v>
      </c>
      <c r="B36" s="6" t="n">
        <v>45748</v>
      </c>
      <c r="C36" s="7" t="n">
        <v>45743</v>
      </c>
      <c r="D36" s="7" t="n">
        <v>45777</v>
      </c>
      <c r="E36" s="2" t="str">
        <f aca="false">_xlfn.CONCAT(A36,D36,LEFT(G36,10))</f>
        <v>TH+45777ASSOCIAÇÃO</v>
      </c>
      <c r="F36" s="2" t="e">
        <f aca="false">VLOOKUP(E36,#REF!,1,0)</f>
        <v>#VALUE!</v>
      </c>
      <c r="G36" s="5" t="s">
        <v>174</v>
      </c>
      <c r="H36" s="8" t="n">
        <v>2000</v>
      </c>
      <c r="I36" s="8" t="n">
        <v>2000</v>
      </c>
      <c r="J36" s="9"/>
      <c r="K36" s="9"/>
      <c r="M36" s="9"/>
      <c r="N36" s="1" t="str">
        <f aca="false">IFERROR(I36/L36,"-")</f>
        <v>-</v>
      </c>
    </row>
    <row r="37" customFormat="false" ht="13.8" hidden="false" customHeight="false" outlineLevel="0" collapsed="false">
      <c r="A37" s="10" t="s">
        <v>334</v>
      </c>
      <c r="B37" s="6" t="n">
        <v>45748</v>
      </c>
      <c r="C37" s="7" t="n">
        <v>45772</v>
      </c>
      <c r="D37" s="7" t="n">
        <v>45777</v>
      </c>
      <c r="E37" s="2" t="str">
        <f aca="false">_xlfn.CONCAT(A37,D37,LEFT(G37,10))</f>
        <v>NOVA BRASIL45777ASSOCIAÇÃO</v>
      </c>
      <c r="F37" s="2" t="e">
        <f aca="false">VLOOKUP(E37,#REF!,1,0)</f>
        <v>#VALUE!</v>
      </c>
      <c r="G37" s="5" t="s">
        <v>175</v>
      </c>
      <c r="H37" s="8" t="n">
        <v>5832</v>
      </c>
      <c r="I37" s="8" t="n">
        <v>4665.6</v>
      </c>
      <c r="J37" s="9" t="s">
        <v>176</v>
      </c>
      <c r="K37" s="9" t="s">
        <v>177</v>
      </c>
      <c r="M37" s="9" t="s">
        <v>172</v>
      </c>
      <c r="N37" s="1" t="str">
        <f aca="false">IFERROR(I37/L37,"-")</f>
        <v>-</v>
      </c>
    </row>
    <row r="38" customFormat="false" ht="13.8" hidden="false" customHeight="false" outlineLevel="0" collapsed="false">
      <c r="A38" s="10" t="s">
        <v>335</v>
      </c>
      <c r="B38" s="6" t="n">
        <v>45748</v>
      </c>
      <c r="C38" s="7" t="n">
        <v>45743</v>
      </c>
      <c r="D38" s="7" t="n">
        <v>45777</v>
      </c>
      <c r="E38" s="2" t="str">
        <f aca="false">_xlfn.CONCAT(A38,D38,LEFT(G38,10))</f>
        <v>TH+45777BALAU MADE</v>
      </c>
      <c r="F38" s="2" t="e">
        <f aca="false">VLOOKUP(E38,#REF!,1,0)</f>
        <v>#VALUE!</v>
      </c>
      <c r="G38" s="5" t="s">
        <v>178</v>
      </c>
      <c r="H38" s="8" t="n">
        <v>1500</v>
      </c>
      <c r="I38" s="8" t="n">
        <v>1500</v>
      </c>
      <c r="J38" s="9"/>
      <c r="K38" s="9"/>
      <c r="M38" s="9"/>
      <c r="N38" s="1" t="str">
        <f aca="false">IFERROR(I38/L38,"-")</f>
        <v>-</v>
      </c>
    </row>
    <row r="39" customFormat="false" ht="13.8" hidden="false" customHeight="false" outlineLevel="0" collapsed="false">
      <c r="A39" s="10" t="s">
        <v>12</v>
      </c>
      <c r="B39" s="6" t="n">
        <v>45748</v>
      </c>
      <c r="C39" s="7" t="n">
        <v>45764</v>
      </c>
      <c r="D39" s="7" t="n">
        <v>45777</v>
      </c>
      <c r="E39" s="2" t="str">
        <f aca="false">_xlfn.CONCAT(A39,D39,LEFT(G39,10))</f>
        <v>DIFUSORA45777BANCO DO B</v>
      </c>
      <c r="F39" s="2" t="e">
        <f aca="false">VLOOKUP(E39,#REF!,1,0)</f>
        <v>#VALUE!</v>
      </c>
      <c r="G39" s="5" t="s">
        <v>179</v>
      </c>
      <c r="H39" s="8" t="n">
        <v>1712.32</v>
      </c>
      <c r="I39" s="8" t="n">
        <v>1369.856</v>
      </c>
      <c r="J39" s="9" t="s">
        <v>131</v>
      </c>
      <c r="K39" s="9" t="s">
        <v>132</v>
      </c>
      <c r="M39" s="9" t="s">
        <v>180</v>
      </c>
      <c r="N39" s="1" t="str">
        <f aca="false">IFERROR(I39/L39,"-")</f>
        <v>-</v>
      </c>
    </row>
    <row r="40" customFormat="false" ht="13.8" hidden="false" customHeight="false" outlineLevel="0" collapsed="false">
      <c r="A40" s="10" t="s">
        <v>334</v>
      </c>
      <c r="B40" s="6" t="n">
        <v>45748</v>
      </c>
      <c r="C40" s="7" t="n">
        <v>45764</v>
      </c>
      <c r="D40" s="7" t="n">
        <v>45777</v>
      </c>
      <c r="E40" s="2" t="str">
        <f aca="false">_xlfn.CONCAT(A40,D40,LEFT(G40,10))</f>
        <v>NOVA BRASIL45777BANCO DO B</v>
      </c>
      <c r="F40" s="2" t="e">
        <f aca="false">VLOOKUP(E40,#REF!,1,0)</f>
        <v>#VALUE!</v>
      </c>
      <c r="G40" s="5" t="s">
        <v>179</v>
      </c>
      <c r="H40" s="8" t="n">
        <v>3780</v>
      </c>
      <c r="I40" s="8" t="n">
        <v>3024</v>
      </c>
      <c r="J40" s="9" t="s">
        <v>148</v>
      </c>
      <c r="K40" s="9" t="s">
        <v>152</v>
      </c>
      <c r="M40" s="9" t="s">
        <v>180</v>
      </c>
      <c r="N40" s="1" t="str">
        <f aca="false">IFERROR(I40/L40,"-")</f>
        <v>-</v>
      </c>
    </row>
    <row r="41" customFormat="false" ht="13.8" hidden="false" customHeight="false" outlineLevel="0" collapsed="false">
      <c r="A41" s="10" t="s">
        <v>333</v>
      </c>
      <c r="B41" s="6" t="n">
        <v>45748</v>
      </c>
      <c r="C41" s="7" t="n">
        <v>45764</v>
      </c>
      <c r="D41" s="7" t="n">
        <v>45777</v>
      </c>
      <c r="E41" s="2" t="str">
        <f aca="false">_xlfn.CONCAT(A41,D41,LEFT(G41,10))</f>
        <v>RÁDIO 7945777BANCO DO B</v>
      </c>
      <c r="F41" s="2" t="e">
        <f aca="false">VLOOKUP(E41,#REF!,1,0)</f>
        <v>#VALUE!</v>
      </c>
      <c r="G41" s="5" t="s">
        <v>179</v>
      </c>
      <c r="H41" s="8" t="n">
        <v>3801.58</v>
      </c>
      <c r="I41" s="8" t="n">
        <v>3041.264</v>
      </c>
      <c r="J41" s="9" t="s">
        <v>134</v>
      </c>
      <c r="K41" s="9" t="s">
        <v>127</v>
      </c>
      <c r="M41" s="9" t="s">
        <v>180</v>
      </c>
      <c r="N41" s="1" t="str">
        <f aca="false">IFERROR(I41/L41,"-")</f>
        <v>-</v>
      </c>
    </row>
    <row r="42" customFormat="false" ht="13.8" hidden="false" customHeight="false" outlineLevel="0" collapsed="false">
      <c r="A42" s="10" t="s">
        <v>335</v>
      </c>
      <c r="B42" s="6" t="n">
        <v>45748</v>
      </c>
      <c r="C42" s="7" t="n">
        <v>45743</v>
      </c>
      <c r="D42" s="7" t="n">
        <v>45777</v>
      </c>
      <c r="E42" s="2" t="str">
        <f aca="false">_xlfn.CONCAT(A42,D42,LEFT(G42,10))</f>
        <v>TH+45777BASEQUIMIC</v>
      </c>
      <c r="F42" s="2" t="e">
        <f aca="false">VLOOKUP(E42,#REF!,1,0)</f>
        <v>#VALUE!</v>
      </c>
      <c r="G42" s="5" t="s">
        <v>181</v>
      </c>
      <c r="H42" s="8" t="n">
        <v>2500</v>
      </c>
      <c r="I42" s="8" t="n">
        <v>2500</v>
      </c>
      <c r="J42" s="9" t="s">
        <v>182</v>
      </c>
      <c r="K42" s="9"/>
      <c r="M42" s="9" t="s">
        <v>183</v>
      </c>
      <c r="N42" s="1" t="str">
        <f aca="false">IFERROR(I42/L42,"-")</f>
        <v>-</v>
      </c>
    </row>
    <row r="43" customFormat="false" ht="13.8" hidden="false" customHeight="false" outlineLevel="0" collapsed="false">
      <c r="A43" s="10" t="s">
        <v>335</v>
      </c>
      <c r="B43" s="6" t="n">
        <v>45748</v>
      </c>
      <c r="C43" s="7" t="n">
        <v>45743</v>
      </c>
      <c r="D43" s="7" t="n">
        <v>45777</v>
      </c>
      <c r="E43" s="2" t="str">
        <f aca="false">_xlfn.CONCAT(A43,D43,LEFT(G43,10))</f>
        <v>TH+45777BEZERRA SA</v>
      </c>
      <c r="F43" s="2" t="e">
        <f aca="false">VLOOKUP(E43,#REF!,1,0)</f>
        <v>#VALUE!</v>
      </c>
      <c r="G43" s="5" t="s">
        <v>184</v>
      </c>
      <c r="H43" s="8" t="n">
        <v>2200</v>
      </c>
      <c r="I43" s="8" t="n">
        <v>2200</v>
      </c>
      <c r="J43" s="9"/>
      <c r="K43" s="9"/>
      <c r="M43" s="9"/>
      <c r="N43" s="1" t="str">
        <f aca="false">IFERROR(I43/L43,"-")</f>
        <v>-</v>
      </c>
    </row>
    <row r="44" customFormat="false" ht="13.8" hidden="false" customHeight="false" outlineLevel="0" collapsed="false">
      <c r="A44" s="10" t="s">
        <v>334</v>
      </c>
      <c r="B44" s="6" t="n">
        <v>45748</v>
      </c>
      <c r="C44" s="7" t="n">
        <v>45743</v>
      </c>
      <c r="D44" s="7" t="n">
        <v>45777</v>
      </c>
      <c r="E44" s="2" t="str">
        <f aca="false">_xlfn.CONCAT(A44,D44,LEFT(G44,10))</f>
        <v>NOVA BRASIL45777BM2 PUBLIC</v>
      </c>
      <c r="F44" s="2" t="e">
        <f aca="false">VLOOKUP(E44,#REF!,1,0)</f>
        <v>#VALUE!</v>
      </c>
      <c r="G44" s="5" t="s">
        <v>185</v>
      </c>
      <c r="H44" s="8" t="n">
        <v>3811.5</v>
      </c>
      <c r="I44" s="8" t="n">
        <v>3049.2</v>
      </c>
      <c r="J44" s="9"/>
      <c r="K44" s="9" t="s">
        <v>139</v>
      </c>
      <c r="M44" s="9" t="s">
        <v>186</v>
      </c>
      <c r="N44" s="1" t="str">
        <f aca="false">IFERROR(I44/L44,"-")</f>
        <v>-</v>
      </c>
    </row>
    <row r="45" customFormat="false" ht="13.8" hidden="false" customHeight="false" outlineLevel="0" collapsed="false">
      <c r="A45" s="10" t="s">
        <v>335</v>
      </c>
      <c r="B45" s="6" t="n">
        <v>45748</v>
      </c>
      <c r="C45" s="7" t="n">
        <v>45743</v>
      </c>
      <c r="D45" s="7" t="n">
        <v>45777</v>
      </c>
      <c r="E45" s="2" t="str">
        <f aca="false">_xlfn.CONCAT(A45,D45,LEFT(G45,10))</f>
        <v>TH+45777C.W. ARTIG</v>
      </c>
      <c r="F45" s="2" t="e">
        <f aca="false">VLOOKUP(E45,#REF!,1,0)</f>
        <v>#VALUE!</v>
      </c>
      <c r="G45" s="5" t="s">
        <v>187</v>
      </c>
      <c r="H45" s="8" t="n">
        <v>1250</v>
      </c>
      <c r="I45" s="8" t="n">
        <v>1250</v>
      </c>
      <c r="J45" s="9"/>
      <c r="K45" s="9"/>
      <c r="M45" s="9"/>
      <c r="N45" s="1" t="str">
        <f aca="false">IFERROR(I45/L45,"-")</f>
        <v>-</v>
      </c>
    </row>
    <row r="46" customFormat="false" ht="13.8" hidden="false" customHeight="false" outlineLevel="0" collapsed="false">
      <c r="A46" s="10" t="s">
        <v>335</v>
      </c>
      <c r="B46" s="6" t="n">
        <v>45748</v>
      </c>
      <c r="C46" s="7" t="n">
        <v>45743</v>
      </c>
      <c r="D46" s="7" t="n">
        <v>45777</v>
      </c>
      <c r="E46" s="2" t="str">
        <f aca="false">_xlfn.CONCAT(A46,D46,LEFT(G46,10))</f>
        <v>TH+45777C.W. ARTIG</v>
      </c>
      <c r="F46" s="2" t="e">
        <f aca="false">VLOOKUP(E46,#REF!,1,0)</f>
        <v>#VALUE!</v>
      </c>
      <c r="G46" s="5" t="s">
        <v>187</v>
      </c>
      <c r="H46" s="8" t="n">
        <v>1250</v>
      </c>
      <c r="I46" s="8" t="n">
        <v>1250</v>
      </c>
      <c r="J46" s="9"/>
      <c r="K46" s="9"/>
      <c r="M46" s="9"/>
      <c r="N46" s="1" t="str">
        <f aca="false">IFERROR(I46/L46,"-")</f>
        <v>-</v>
      </c>
    </row>
    <row r="47" customFormat="false" ht="13.8" hidden="false" customHeight="false" outlineLevel="0" collapsed="false">
      <c r="A47" s="10" t="s">
        <v>335</v>
      </c>
      <c r="B47" s="6" t="n">
        <v>45748</v>
      </c>
      <c r="C47" s="7" t="n">
        <v>45743</v>
      </c>
      <c r="D47" s="7" t="n">
        <v>45777</v>
      </c>
      <c r="E47" s="2" t="str">
        <f aca="false">_xlfn.CONCAT(A47,D47,LEFT(G47,10))</f>
        <v>TH+45777CAÇOLA EMB</v>
      </c>
      <c r="F47" s="2" t="e">
        <f aca="false">VLOOKUP(E47,#REF!,1,0)</f>
        <v>#VALUE!</v>
      </c>
      <c r="G47" s="5" t="s">
        <v>188</v>
      </c>
      <c r="H47" s="8" t="n">
        <v>1000</v>
      </c>
      <c r="I47" s="8" t="n">
        <v>1000</v>
      </c>
      <c r="J47" s="9"/>
      <c r="K47" s="9"/>
      <c r="M47" s="9"/>
      <c r="N47" s="1" t="str">
        <f aca="false">IFERROR(I47/L47,"-")</f>
        <v>-</v>
      </c>
    </row>
    <row r="48" customFormat="false" ht="13.8" hidden="false" customHeight="false" outlineLevel="0" collapsed="false">
      <c r="A48" s="10" t="s">
        <v>335</v>
      </c>
      <c r="B48" s="6" t="n">
        <v>45748</v>
      </c>
      <c r="C48" s="7" t="n">
        <v>45743</v>
      </c>
      <c r="D48" s="7" t="n">
        <v>45777</v>
      </c>
      <c r="E48" s="2" t="str">
        <f aca="false">_xlfn.CONCAT(A48,D48,LEFT(G48,10))</f>
        <v>TH+45777CANAFORTE </v>
      </c>
      <c r="F48" s="2" t="e">
        <f aca="false">VLOOKUP(E48,#REF!,1,0)</f>
        <v>#VALUE!</v>
      </c>
      <c r="G48" s="5" t="s">
        <v>189</v>
      </c>
      <c r="H48" s="8" t="n">
        <v>1000</v>
      </c>
      <c r="I48" s="8" t="n">
        <v>1000</v>
      </c>
      <c r="J48" s="9"/>
      <c r="K48" s="9"/>
      <c r="M48" s="9"/>
      <c r="N48" s="1" t="str">
        <f aca="false">IFERROR(I48/L48,"-")</f>
        <v>-</v>
      </c>
    </row>
    <row r="49" customFormat="false" ht="13.8" hidden="false" customHeight="false" outlineLevel="0" collapsed="false">
      <c r="A49" s="10" t="s">
        <v>335</v>
      </c>
      <c r="B49" s="6" t="n">
        <v>45748</v>
      </c>
      <c r="C49" s="7" t="n">
        <v>45743</v>
      </c>
      <c r="D49" s="7" t="n">
        <v>45777</v>
      </c>
      <c r="E49" s="2" t="str">
        <f aca="false">_xlfn.CONCAT(A49,D49,LEFT(G49,10))</f>
        <v>TH+45777CESAR HENR</v>
      </c>
      <c r="F49" s="2" t="e">
        <f aca="false">VLOOKUP(E49,#REF!,1,0)</f>
        <v>#VALUE!</v>
      </c>
      <c r="G49" s="5" t="s">
        <v>190</v>
      </c>
      <c r="H49" s="8" t="n">
        <v>500</v>
      </c>
      <c r="I49" s="8" t="n">
        <v>500</v>
      </c>
      <c r="J49" s="9"/>
      <c r="K49" s="9"/>
      <c r="M49" s="9"/>
      <c r="N49" s="1" t="str">
        <f aca="false">IFERROR(I49/L49,"-")</f>
        <v>-</v>
      </c>
    </row>
    <row r="50" customFormat="false" ht="13.8" hidden="false" customHeight="false" outlineLevel="0" collapsed="false">
      <c r="A50" s="10" t="s">
        <v>335</v>
      </c>
      <c r="B50" s="6" t="n">
        <v>45748</v>
      </c>
      <c r="C50" s="7" t="n">
        <v>45743</v>
      </c>
      <c r="D50" s="7" t="n">
        <v>45777</v>
      </c>
      <c r="E50" s="2" t="str">
        <f aca="false">_xlfn.CONCAT(A50,D50,LEFT(G50,10))</f>
        <v>TH+45777CLAUDIA RE</v>
      </c>
      <c r="F50" s="2" t="e">
        <f aca="false">VLOOKUP(E50,#REF!,1,0)</f>
        <v>#VALUE!</v>
      </c>
      <c r="G50" s="5" t="s">
        <v>191</v>
      </c>
      <c r="H50" s="8" t="n">
        <v>2000</v>
      </c>
      <c r="I50" s="8" t="n">
        <v>2000</v>
      </c>
      <c r="J50" s="9"/>
      <c r="K50" s="9"/>
      <c r="M50" s="9"/>
      <c r="N50" s="1" t="str">
        <f aca="false">IFERROR(I50/L50,"-")</f>
        <v>-</v>
      </c>
    </row>
    <row r="51" customFormat="false" ht="13.8" hidden="false" customHeight="false" outlineLevel="0" collapsed="false">
      <c r="A51" s="10" t="s">
        <v>335</v>
      </c>
      <c r="B51" s="6" t="n">
        <v>45748</v>
      </c>
      <c r="C51" s="7" t="n">
        <v>45743</v>
      </c>
      <c r="D51" s="7" t="n">
        <v>45777</v>
      </c>
      <c r="E51" s="2" t="str">
        <f aca="false">_xlfn.CONCAT(A51,D51,LEFT(G51,10))</f>
        <v>TH+45777COAL CEREA</v>
      </c>
      <c r="F51" s="2" t="e">
        <f aca="false">VLOOKUP(E51,#REF!,1,0)</f>
        <v>#VALUE!</v>
      </c>
      <c r="G51" s="5" t="s">
        <v>192</v>
      </c>
      <c r="H51" s="8" t="n">
        <v>2500</v>
      </c>
      <c r="I51" s="8" t="n">
        <v>2500</v>
      </c>
      <c r="J51" s="9"/>
      <c r="K51" s="9"/>
      <c r="M51" s="9"/>
      <c r="N51" s="1" t="str">
        <f aca="false">IFERROR(I51/L51,"-")</f>
        <v>-</v>
      </c>
    </row>
    <row r="52" customFormat="false" ht="13.8" hidden="false" customHeight="false" outlineLevel="0" collapsed="false">
      <c r="A52" s="10" t="s">
        <v>12</v>
      </c>
      <c r="B52" s="6" t="n">
        <v>45748</v>
      </c>
      <c r="C52" s="7" t="n">
        <v>45748</v>
      </c>
      <c r="D52" s="7" t="n">
        <v>45777</v>
      </c>
      <c r="E52" s="2" t="str">
        <f aca="false">_xlfn.CONCAT(A52,D52,LEFT(G52,10))</f>
        <v>DIFUSORA45777COMERCIAL </v>
      </c>
      <c r="F52" s="2" t="e">
        <f aca="false">VLOOKUP(E52,#REF!,1,0)</f>
        <v>#VALUE!</v>
      </c>
      <c r="G52" s="5" t="s">
        <v>193</v>
      </c>
      <c r="H52" s="8" t="n">
        <v>1632.67</v>
      </c>
      <c r="I52" s="8" t="n">
        <v>1306.136</v>
      </c>
      <c r="J52" s="9"/>
      <c r="K52" s="9"/>
      <c r="M52" s="9" t="s">
        <v>194</v>
      </c>
      <c r="N52" s="1" t="str">
        <f aca="false">IFERROR(I52/L52,"-")</f>
        <v>-</v>
      </c>
    </row>
    <row r="53" customFormat="false" ht="13.8" hidden="false" customHeight="false" outlineLevel="0" collapsed="false">
      <c r="A53" s="10" t="s">
        <v>335</v>
      </c>
      <c r="B53" s="6" t="n">
        <v>45748</v>
      </c>
      <c r="C53" s="7" t="n">
        <v>45743</v>
      </c>
      <c r="D53" s="7" t="n">
        <v>45777</v>
      </c>
      <c r="E53" s="2" t="str">
        <f aca="false">_xlfn.CONCAT(A53,D53,LEFT(G53,10))</f>
        <v>TH+45777COMERCIO D</v>
      </c>
      <c r="F53" s="2" t="e">
        <f aca="false">VLOOKUP(E53,#REF!,1,0)</f>
        <v>#VALUE!</v>
      </c>
      <c r="G53" s="13" t="s">
        <v>195</v>
      </c>
      <c r="H53" s="8" t="n">
        <v>1400</v>
      </c>
      <c r="I53" s="8" t="n">
        <v>1400</v>
      </c>
      <c r="J53" s="9"/>
      <c r="K53" s="9"/>
      <c r="M53" s="9"/>
      <c r="N53" s="1" t="str">
        <f aca="false">IFERROR(I53/L53,"-")</f>
        <v>-</v>
      </c>
    </row>
    <row r="54" customFormat="false" ht="13.8" hidden="false" customHeight="false" outlineLevel="0" collapsed="false">
      <c r="A54" s="10" t="s">
        <v>12</v>
      </c>
      <c r="B54" s="6" t="n">
        <v>45748</v>
      </c>
      <c r="C54" s="7" t="n">
        <v>45743</v>
      </c>
      <c r="D54" s="7" t="n">
        <v>45777</v>
      </c>
      <c r="E54" s="2" t="str">
        <f aca="false">_xlfn.CONCAT(A54,D54,LEFT(G54,10))</f>
        <v>DIFUSORA45777COOPERATIV</v>
      </c>
      <c r="F54" s="2" t="e">
        <f aca="false">VLOOKUP(E54,#REF!,1,0)</f>
        <v>#VALUE!</v>
      </c>
      <c r="G54" s="5" t="s">
        <v>196</v>
      </c>
      <c r="H54" s="8" t="n">
        <v>6784</v>
      </c>
      <c r="I54" s="8" t="n">
        <v>5427.2</v>
      </c>
      <c r="J54" s="9"/>
      <c r="K54" s="9"/>
      <c r="M54" s="9" t="s">
        <v>197</v>
      </c>
      <c r="N54" s="1" t="str">
        <f aca="false">IFERROR(I54/L54,"-")</f>
        <v>-</v>
      </c>
    </row>
    <row r="55" customFormat="false" ht="13.8" hidden="false" customHeight="false" outlineLevel="0" collapsed="false">
      <c r="A55" s="10" t="s">
        <v>334</v>
      </c>
      <c r="B55" s="6" t="n">
        <v>45748</v>
      </c>
      <c r="C55" s="7" t="n">
        <v>45743</v>
      </c>
      <c r="D55" s="7" t="n">
        <v>45777</v>
      </c>
      <c r="E55" s="2" t="str">
        <f aca="false">_xlfn.CONCAT(A55,D55,LEFT(G55,10))</f>
        <v>NOVA BRASIL45777COOPERATIV</v>
      </c>
      <c r="F55" s="2" t="e">
        <f aca="false">VLOOKUP(E55,#REF!,1,0)</f>
        <v>#VALUE!</v>
      </c>
      <c r="G55" s="5" t="s">
        <v>196</v>
      </c>
      <c r="H55" s="8" t="n">
        <v>6784</v>
      </c>
      <c r="I55" s="8" t="n">
        <v>5427.2</v>
      </c>
      <c r="J55" s="9"/>
      <c r="K55" s="9"/>
      <c r="M55" s="9" t="s">
        <v>197</v>
      </c>
      <c r="N55" s="1" t="str">
        <f aca="false">IFERROR(I55/L55,"-")</f>
        <v>-</v>
      </c>
    </row>
    <row r="56" customFormat="false" ht="13.8" hidden="false" customHeight="false" outlineLevel="0" collapsed="false">
      <c r="A56" s="10" t="s">
        <v>335</v>
      </c>
      <c r="B56" s="6" t="n">
        <v>45748</v>
      </c>
      <c r="C56" s="7" t="n">
        <v>45743</v>
      </c>
      <c r="D56" s="7" t="n">
        <v>45777</v>
      </c>
      <c r="E56" s="2" t="str">
        <f aca="false">_xlfn.CONCAT(A56,D56,LEFT(G56,10))</f>
        <v>TH+45777DEPOSITO I</v>
      </c>
      <c r="F56" s="2" t="e">
        <f aca="false">VLOOKUP(E56,#REF!,1,0)</f>
        <v>#VALUE!</v>
      </c>
      <c r="G56" s="5" t="s">
        <v>198</v>
      </c>
      <c r="H56" s="8" t="n">
        <v>2992.5</v>
      </c>
      <c r="I56" s="8" t="n">
        <v>2394</v>
      </c>
      <c r="J56" s="9"/>
      <c r="K56" s="9"/>
      <c r="M56" s="9" t="s">
        <v>199</v>
      </c>
      <c r="N56" s="1" t="str">
        <f aca="false">IFERROR(I56/L56,"-")</f>
        <v>-</v>
      </c>
    </row>
    <row r="57" customFormat="false" ht="13.8" hidden="false" customHeight="false" outlineLevel="0" collapsed="false">
      <c r="A57" s="10" t="s">
        <v>335</v>
      </c>
      <c r="B57" s="6" t="n">
        <v>45748</v>
      </c>
      <c r="C57" s="7" t="n">
        <v>45743</v>
      </c>
      <c r="D57" s="7" t="n">
        <v>45777</v>
      </c>
      <c r="E57" s="2" t="str">
        <f aca="false">_xlfn.CONCAT(A57,D57,LEFT(G57,10))</f>
        <v>TH+45777DIMETAL DI</v>
      </c>
      <c r="F57" s="2" t="e">
        <f aca="false">VLOOKUP(E57,#REF!,1,0)</f>
        <v>#VALUE!</v>
      </c>
      <c r="G57" s="5" t="s">
        <v>142</v>
      </c>
      <c r="H57" s="8" t="n">
        <v>600</v>
      </c>
      <c r="I57" s="8" t="n">
        <v>600</v>
      </c>
      <c r="J57" s="9"/>
      <c r="K57" s="9"/>
      <c r="M57" s="9"/>
      <c r="N57" s="1" t="str">
        <f aca="false">IFERROR(I57/L57,"-")</f>
        <v>-</v>
      </c>
    </row>
    <row r="58" customFormat="false" ht="13.8" hidden="false" customHeight="false" outlineLevel="0" collapsed="false">
      <c r="A58" s="10" t="s">
        <v>335</v>
      </c>
      <c r="B58" s="6" t="n">
        <v>45748</v>
      </c>
      <c r="C58" s="7" t="n">
        <v>45743</v>
      </c>
      <c r="D58" s="7" t="n">
        <v>45777</v>
      </c>
      <c r="E58" s="2" t="str">
        <f aca="false">_xlfn.CONCAT(A58,D58,LEFT(G58,10))</f>
        <v>TH+45777DOMINGO DA</v>
      </c>
      <c r="F58" s="2" t="e">
        <f aca="false">VLOOKUP(E58,#REF!,1,0)</f>
        <v>#VALUE!</v>
      </c>
      <c r="G58" s="5" t="s">
        <v>200</v>
      </c>
      <c r="H58" s="8" t="n">
        <v>500</v>
      </c>
      <c r="I58" s="8" t="n">
        <v>500</v>
      </c>
      <c r="J58" s="9"/>
      <c r="K58" s="9"/>
      <c r="M58" s="9"/>
      <c r="N58" s="1" t="str">
        <f aca="false">IFERROR(I58/L58,"-")</f>
        <v>-</v>
      </c>
    </row>
    <row r="59" customFormat="false" ht="13.8" hidden="false" customHeight="false" outlineLevel="0" collapsed="false">
      <c r="A59" s="10" t="s">
        <v>335</v>
      </c>
      <c r="B59" s="6" t="n">
        <v>45748</v>
      </c>
      <c r="C59" s="7" t="n">
        <v>45743</v>
      </c>
      <c r="D59" s="7" t="n">
        <v>45777</v>
      </c>
      <c r="E59" s="2" t="str">
        <f aca="false">_xlfn.CONCAT(A59,D59,LEFT(G59,10))</f>
        <v>TH+45777EMPÓRIO NO</v>
      </c>
      <c r="F59" s="2" t="e">
        <f aca="false">VLOOKUP(E59,#REF!,1,0)</f>
        <v>#VALUE!</v>
      </c>
      <c r="G59" s="5" t="s">
        <v>201</v>
      </c>
      <c r="H59" s="8" t="n">
        <v>1000</v>
      </c>
      <c r="I59" s="8" t="n">
        <v>1000</v>
      </c>
      <c r="J59" s="9"/>
      <c r="K59" s="9"/>
      <c r="M59" s="9"/>
      <c r="N59" s="1" t="str">
        <f aca="false">IFERROR(I59/L59,"-")</f>
        <v>-</v>
      </c>
    </row>
    <row r="60" customFormat="false" ht="13.8" hidden="false" customHeight="false" outlineLevel="0" collapsed="false">
      <c r="A60" s="10" t="s">
        <v>335</v>
      </c>
      <c r="B60" s="6" t="n">
        <v>45748</v>
      </c>
      <c r="C60" s="7" t="n">
        <v>45743</v>
      </c>
      <c r="D60" s="7" t="n">
        <v>45777</v>
      </c>
      <c r="E60" s="2" t="str">
        <f aca="false">_xlfn.CONCAT(A60,D60,LEFT(G60,10))</f>
        <v>TH+45777FUNDAÇÃO P</v>
      </c>
      <c r="F60" s="2" t="e">
        <f aca="false">VLOOKUP(E60,#REF!,1,0)</f>
        <v>#VALUE!</v>
      </c>
      <c r="G60" s="5" t="s">
        <v>202</v>
      </c>
      <c r="H60" s="8" t="n">
        <v>6000</v>
      </c>
      <c r="I60" s="8" t="n">
        <v>6000</v>
      </c>
      <c r="J60" s="9"/>
      <c r="K60" s="9"/>
      <c r="M60" s="9"/>
      <c r="N60" s="1" t="str">
        <f aca="false">IFERROR(I60/L60,"-")</f>
        <v>-</v>
      </c>
    </row>
    <row r="61" customFormat="false" ht="13.8" hidden="false" customHeight="false" outlineLevel="0" collapsed="false">
      <c r="A61" s="10" t="s">
        <v>335</v>
      </c>
      <c r="B61" s="6" t="n">
        <v>45748</v>
      </c>
      <c r="C61" s="7" t="n">
        <v>45743</v>
      </c>
      <c r="D61" s="7" t="n">
        <v>45777</v>
      </c>
      <c r="E61" s="2" t="str">
        <f aca="false">_xlfn.CONCAT(A61,D61,LEFT(G61,10))</f>
        <v>TH+45777FUNDAÇÃO P</v>
      </c>
      <c r="F61" s="2" t="e">
        <f aca="false">VLOOKUP(E61,#REF!,1,0)</f>
        <v>#VALUE!</v>
      </c>
      <c r="G61" s="5" t="s">
        <v>202</v>
      </c>
      <c r="H61" s="8" t="n">
        <v>6000</v>
      </c>
      <c r="I61" s="8" t="n">
        <v>6000</v>
      </c>
      <c r="J61" s="9"/>
      <c r="K61" s="9"/>
      <c r="M61" s="9"/>
      <c r="N61" s="1" t="str">
        <f aca="false">IFERROR(I61/L61,"-")</f>
        <v>-</v>
      </c>
    </row>
    <row r="62" customFormat="false" ht="13.8" hidden="false" customHeight="false" outlineLevel="0" collapsed="false">
      <c r="A62" s="10" t="s">
        <v>335</v>
      </c>
      <c r="B62" s="6" t="n">
        <v>45748</v>
      </c>
      <c r="C62" s="7" t="n">
        <v>45743</v>
      </c>
      <c r="D62" s="7" t="n">
        <v>45777</v>
      </c>
      <c r="E62" s="2" t="str">
        <f aca="false">_xlfn.CONCAT(A62,D62,LEFT(G62,10))</f>
        <v>TH+45777FUNDAÇÃO P</v>
      </c>
      <c r="F62" s="2" t="e">
        <f aca="false">VLOOKUP(E62,#REF!,1,0)</f>
        <v>#VALUE!</v>
      </c>
      <c r="G62" s="5" t="s">
        <v>202</v>
      </c>
      <c r="H62" s="8" t="n">
        <v>6000</v>
      </c>
      <c r="I62" s="8" t="n">
        <v>6000</v>
      </c>
      <c r="J62" s="9"/>
      <c r="K62" s="9"/>
      <c r="M62" s="9"/>
      <c r="N62" s="1" t="str">
        <f aca="false">IFERROR(I62/L62,"-")</f>
        <v>-</v>
      </c>
    </row>
    <row r="63" customFormat="false" ht="13.8" hidden="false" customHeight="false" outlineLevel="0" collapsed="false">
      <c r="A63" s="10" t="s">
        <v>335</v>
      </c>
      <c r="B63" s="6" t="n">
        <v>45748</v>
      </c>
      <c r="C63" s="7" t="n">
        <v>45743</v>
      </c>
      <c r="D63" s="7" t="n">
        <v>45777</v>
      </c>
      <c r="E63" s="2" t="str">
        <f aca="false">_xlfn.CONCAT(A63,D63,LEFT(G63,10))</f>
        <v>TH+45777FUNDAÇÃO P</v>
      </c>
      <c r="F63" s="2" t="e">
        <f aca="false">VLOOKUP(E63,#REF!,1,0)</f>
        <v>#VALUE!</v>
      </c>
      <c r="G63" s="5" t="s">
        <v>202</v>
      </c>
      <c r="H63" s="8" t="n">
        <v>6000</v>
      </c>
      <c r="I63" s="8" t="n">
        <v>6000</v>
      </c>
      <c r="J63" s="9"/>
      <c r="K63" s="9"/>
      <c r="M63" s="9"/>
      <c r="N63" s="1" t="str">
        <f aca="false">IFERROR(I63/L63,"-")</f>
        <v>-</v>
      </c>
    </row>
    <row r="64" customFormat="false" ht="13.8" hidden="false" customHeight="false" outlineLevel="0" collapsed="false">
      <c r="A64" s="10" t="s">
        <v>334</v>
      </c>
      <c r="B64" s="6" t="n">
        <v>45748</v>
      </c>
      <c r="C64" s="7" t="n">
        <v>45744</v>
      </c>
      <c r="D64" s="7" t="n">
        <v>45777</v>
      </c>
      <c r="E64" s="2" t="str">
        <f aca="false">_xlfn.CONCAT(A64,D64,LEFT(G64,10))</f>
        <v>NOVA BRASIL45777HB23 EMPRE</v>
      </c>
      <c r="F64" s="2" t="e">
        <f aca="false">VLOOKUP(E64,#REF!,1,0)</f>
        <v>#VALUE!</v>
      </c>
      <c r="G64" s="5" t="s">
        <v>203</v>
      </c>
      <c r="H64" s="8" t="n">
        <v>2835</v>
      </c>
      <c r="I64" s="8" t="n">
        <v>2268</v>
      </c>
      <c r="J64" s="9"/>
      <c r="K64" s="9" t="s">
        <v>139</v>
      </c>
      <c r="M64" s="9" t="s">
        <v>204</v>
      </c>
      <c r="N64" s="1" t="str">
        <f aca="false">IFERROR(I64/L64,"-")</f>
        <v>-</v>
      </c>
    </row>
    <row r="65" customFormat="false" ht="13.8" hidden="false" customHeight="false" outlineLevel="0" collapsed="false">
      <c r="A65" s="10" t="s">
        <v>334</v>
      </c>
      <c r="B65" s="6" t="n">
        <v>45748</v>
      </c>
      <c r="C65" s="7" t="n">
        <v>45744</v>
      </c>
      <c r="D65" s="7" t="n">
        <v>45777</v>
      </c>
      <c r="E65" s="2" t="str">
        <f aca="false">_xlfn.CONCAT(A65,D65,LEFT(G65,10))</f>
        <v>NOVA BRASIL45777HB35 EMPRE</v>
      </c>
      <c r="F65" s="2" t="e">
        <f aca="false">VLOOKUP(E65,#REF!,1,0)</f>
        <v>#VALUE!</v>
      </c>
      <c r="G65" s="5" t="s">
        <v>205</v>
      </c>
      <c r="H65" s="8" t="n">
        <v>2700</v>
      </c>
      <c r="I65" s="8" t="n">
        <v>2160</v>
      </c>
      <c r="J65" s="9"/>
      <c r="K65" s="9" t="s">
        <v>139</v>
      </c>
      <c r="M65" s="9" t="s">
        <v>204</v>
      </c>
      <c r="N65" s="1" t="str">
        <f aca="false">IFERROR(I65/L65,"-")</f>
        <v>-</v>
      </c>
    </row>
    <row r="66" customFormat="false" ht="13.8" hidden="false" customHeight="false" outlineLevel="0" collapsed="false">
      <c r="A66" s="10" t="s">
        <v>335</v>
      </c>
      <c r="B66" s="6" t="n">
        <v>45748</v>
      </c>
      <c r="C66" s="7" t="n">
        <v>45743</v>
      </c>
      <c r="D66" s="7" t="n">
        <v>45777</v>
      </c>
      <c r="E66" s="2" t="str">
        <f aca="false">_xlfn.CONCAT(A66,D66,LEFT(G66,10))</f>
        <v>TH+45777HELOISA HE</v>
      </c>
      <c r="F66" s="2" t="e">
        <f aca="false">VLOOKUP(E66,#REF!,1,0)</f>
        <v>#VALUE!</v>
      </c>
      <c r="G66" s="5" t="s">
        <v>206</v>
      </c>
      <c r="H66" s="8" t="n">
        <v>1500</v>
      </c>
      <c r="I66" s="8" t="n">
        <v>1500</v>
      </c>
      <c r="J66" s="9"/>
      <c r="K66" s="9"/>
      <c r="M66" s="9"/>
      <c r="N66" s="1" t="str">
        <f aca="false">IFERROR(I66/L66,"-")</f>
        <v>-</v>
      </c>
    </row>
    <row r="67" customFormat="false" ht="13.8" hidden="false" customHeight="false" outlineLevel="0" collapsed="false">
      <c r="A67" s="10" t="s">
        <v>334</v>
      </c>
      <c r="B67" s="6" t="n">
        <v>45748</v>
      </c>
      <c r="C67" s="7" t="n">
        <v>45743</v>
      </c>
      <c r="D67" s="7" t="n">
        <v>45777</v>
      </c>
      <c r="E67" s="2" t="str">
        <f aca="false">_xlfn.CONCAT(A67,D67,LEFT(G67,10))</f>
        <v>NOVA BRASIL45777INDUSTRIA </v>
      </c>
      <c r="F67" s="2" t="e">
        <f aca="false">VLOOKUP(E67,#REF!,1,0)</f>
        <v>#VALUE!</v>
      </c>
      <c r="G67" s="5" t="s">
        <v>207</v>
      </c>
      <c r="H67" s="8" t="n">
        <v>2940</v>
      </c>
      <c r="I67" s="8" t="n">
        <v>2940</v>
      </c>
      <c r="J67" s="9"/>
      <c r="K67" s="9" t="s">
        <v>152</v>
      </c>
      <c r="M67" s="9" t="s">
        <v>208</v>
      </c>
      <c r="N67" s="1" t="str">
        <f aca="false">IFERROR(I67/L67,"-")</f>
        <v>-</v>
      </c>
    </row>
    <row r="68" customFormat="false" ht="13.8" hidden="false" customHeight="false" outlineLevel="0" collapsed="false">
      <c r="A68" s="10" t="s">
        <v>335</v>
      </c>
      <c r="B68" s="6" t="n">
        <v>45748</v>
      </c>
      <c r="C68" s="7" t="n">
        <v>45743</v>
      </c>
      <c r="D68" s="7" t="n">
        <v>45777</v>
      </c>
      <c r="E68" s="2" t="str">
        <f aca="false">_xlfn.CONCAT(A68,D68,LEFT(G68,10))</f>
        <v>TH+45777INDUSTRIA </v>
      </c>
      <c r="F68" s="2" t="e">
        <f aca="false">VLOOKUP(E68,#REF!,1,0)</f>
        <v>#VALUE!</v>
      </c>
      <c r="G68" s="5" t="s">
        <v>209</v>
      </c>
      <c r="H68" s="8" t="n">
        <v>1300</v>
      </c>
      <c r="I68" s="8" t="n">
        <v>1300</v>
      </c>
      <c r="J68" s="9"/>
      <c r="K68" s="9"/>
      <c r="M68" s="9"/>
      <c r="N68" s="1" t="str">
        <f aca="false">IFERROR(I68/L68,"-")</f>
        <v>-</v>
      </c>
    </row>
    <row r="69" customFormat="false" ht="13.8" hidden="true" customHeight="false" outlineLevel="0" collapsed="false">
      <c r="A69" s="10" t="s">
        <v>12</v>
      </c>
      <c r="B69" s="6" t="n">
        <v>45748</v>
      </c>
      <c r="C69" s="7" t="n">
        <v>45750</v>
      </c>
      <c r="D69" s="7" t="n">
        <v>45777</v>
      </c>
      <c r="E69" s="2" t="str">
        <f aca="false">_xlfn.CONCAT(A69,D69,LEFT(G69,10))</f>
        <v>DIFUSORA45777JAVEP VEIC</v>
      </c>
      <c r="F69" s="2" t="e">
        <f aca="false">VLOOKUP(E69,#REF!,1,0)</f>
        <v>#VALUE!</v>
      </c>
      <c r="G69" s="5" t="s">
        <v>265</v>
      </c>
      <c r="H69" s="8" t="n">
        <v>4920</v>
      </c>
      <c r="I69" s="8" t="n">
        <v>4920</v>
      </c>
      <c r="J69" s="9" t="s">
        <v>137</v>
      </c>
      <c r="K69" s="9" t="s">
        <v>171</v>
      </c>
      <c r="M69" s="9"/>
      <c r="N69" s="1" t="str">
        <f aca="false">IFERROR(I69/L69,"-")</f>
        <v>-</v>
      </c>
    </row>
    <row r="70" customFormat="false" ht="13.8" hidden="false" customHeight="false" outlineLevel="0" collapsed="false">
      <c r="A70" s="10" t="s">
        <v>335</v>
      </c>
      <c r="B70" s="6" t="n">
        <v>45748</v>
      </c>
      <c r="C70" s="7" t="n">
        <v>45743</v>
      </c>
      <c r="D70" s="7" t="n">
        <v>45777</v>
      </c>
      <c r="E70" s="2" t="str">
        <f aca="false">_xlfn.CONCAT(A70,D70,LEFT(G70,10))</f>
        <v>TH+45777JEAN DANIE</v>
      </c>
      <c r="F70" s="2" t="e">
        <f aca="false">VLOOKUP(E70,#REF!,1,0)</f>
        <v>#VALUE!</v>
      </c>
      <c r="G70" s="5" t="s">
        <v>210</v>
      </c>
      <c r="H70" s="8" t="n">
        <v>8500</v>
      </c>
      <c r="I70" s="8" t="n">
        <v>8500</v>
      </c>
      <c r="J70" s="9"/>
      <c r="K70" s="9"/>
      <c r="M70" s="9"/>
      <c r="N70" s="1" t="str">
        <f aca="false">IFERROR(I70/L70,"-")</f>
        <v>-</v>
      </c>
    </row>
    <row r="71" customFormat="false" ht="13.8" hidden="false" customHeight="false" outlineLevel="0" collapsed="false">
      <c r="A71" s="10" t="s">
        <v>334</v>
      </c>
      <c r="B71" s="6" t="n">
        <v>45748</v>
      </c>
      <c r="C71" s="7" t="n">
        <v>45764</v>
      </c>
      <c r="D71" s="7" t="n">
        <v>45777</v>
      </c>
      <c r="E71" s="2" t="str">
        <f aca="false">_xlfn.CONCAT(A71,D71,LEFT(G71,10))</f>
        <v>NOVA BRASIL45777NOW MOTORS</v>
      </c>
      <c r="F71" s="2" t="e">
        <f aca="false">VLOOKUP(E71,#REF!,1,0)</f>
        <v>#VALUE!</v>
      </c>
      <c r="G71" s="5" t="s">
        <v>211</v>
      </c>
      <c r="H71" s="8" t="n">
        <v>4000</v>
      </c>
      <c r="I71" s="8" t="n">
        <v>3200</v>
      </c>
      <c r="J71" s="9"/>
      <c r="K71" s="9" t="s">
        <v>139</v>
      </c>
      <c r="M71" s="9" t="s">
        <v>212</v>
      </c>
      <c r="N71" s="1" t="str">
        <f aca="false">IFERROR(I71/L71,"-")</f>
        <v>-</v>
      </c>
    </row>
    <row r="72" customFormat="false" ht="13.8" hidden="false" customHeight="false" outlineLevel="0" collapsed="false">
      <c r="A72" s="10" t="s">
        <v>334</v>
      </c>
      <c r="B72" s="6" t="n">
        <v>45748</v>
      </c>
      <c r="C72" s="7" t="n">
        <v>45755</v>
      </c>
      <c r="D72" s="7" t="n">
        <v>45777</v>
      </c>
      <c r="E72" s="2" t="str">
        <f aca="false">_xlfn.CONCAT(A72,D72,LEFT(G72,10))</f>
        <v>NOVA BRASIL45777PAGANO AUT</v>
      </c>
      <c r="F72" s="2" t="e">
        <f aca="false">VLOOKUP(E72,#REF!,1,0)</f>
        <v>#VALUE!</v>
      </c>
      <c r="G72" s="5" t="s">
        <v>213</v>
      </c>
      <c r="H72" s="8" t="n">
        <v>2400</v>
      </c>
      <c r="I72" s="8" t="n">
        <v>1920</v>
      </c>
      <c r="J72" s="9"/>
      <c r="K72" s="9" t="s">
        <v>139</v>
      </c>
      <c r="M72" s="9" t="s">
        <v>214</v>
      </c>
      <c r="N72" s="1" t="str">
        <f aca="false">IFERROR(I72/L72,"-")</f>
        <v>-</v>
      </c>
    </row>
    <row r="73" customFormat="false" ht="13.8" hidden="false" customHeight="false" outlineLevel="0" collapsed="false">
      <c r="A73" s="10" t="s">
        <v>334</v>
      </c>
      <c r="B73" s="6" t="n">
        <v>45748</v>
      </c>
      <c r="C73" s="7" t="n">
        <v>45748</v>
      </c>
      <c r="D73" s="7" t="n">
        <v>45777</v>
      </c>
      <c r="E73" s="2" t="str">
        <f aca="false">_xlfn.CONCAT(A73,D73,LEFT(G73,10))</f>
        <v>NOVA BRASIL45777PAGANO FAS</v>
      </c>
      <c r="F73" s="2" t="e">
        <f aca="false">VLOOKUP(E73,#REF!,1,0)</f>
        <v>#VALUE!</v>
      </c>
      <c r="G73" s="5" t="s">
        <v>215</v>
      </c>
      <c r="H73" s="8" t="n">
        <v>2660</v>
      </c>
      <c r="I73" s="8" t="n">
        <v>2128</v>
      </c>
      <c r="J73" s="9"/>
      <c r="K73" s="9" t="s">
        <v>139</v>
      </c>
      <c r="M73" s="9" t="s">
        <v>214</v>
      </c>
      <c r="N73" s="1" t="str">
        <f aca="false">IFERROR(I73/L73,"-")</f>
        <v>-</v>
      </c>
    </row>
    <row r="74" customFormat="false" ht="13.8" hidden="false" customHeight="false" outlineLevel="0" collapsed="false">
      <c r="A74" s="10" t="s">
        <v>335</v>
      </c>
      <c r="B74" s="6" t="n">
        <v>45748</v>
      </c>
      <c r="C74" s="7" t="n">
        <v>45747</v>
      </c>
      <c r="D74" s="7" t="n">
        <v>45777</v>
      </c>
      <c r="E74" s="2" t="str">
        <f aca="false">_xlfn.CONCAT(A74,D74,LEFT(G74,10))</f>
        <v>TH+45777PD8 DISTRI</v>
      </c>
      <c r="F74" s="2" t="e">
        <f aca="false">VLOOKUP(E74,#REF!,1,0)</f>
        <v>#VALUE!</v>
      </c>
      <c r="G74" s="5" t="s">
        <v>216</v>
      </c>
      <c r="H74" s="8" t="n">
        <v>1000</v>
      </c>
      <c r="I74" s="8" t="n">
        <v>1000</v>
      </c>
      <c r="J74" s="9"/>
      <c r="K74" s="9" t="s">
        <v>217</v>
      </c>
      <c r="M74" s="9"/>
      <c r="N74" s="1" t="str">
        <f aca="false">IFERROR(I74/L74,"-")</f>
        <v>-</v>
      </c>
    </row>
    <row r="75" customFormat="false" ht="13.8" hidden="false" customHeight="false" outlineLevel="0" collapsed="false">
      <c r="A75" s="10" t="s">
        <v>334</v>
      </c>
      <c r="B75" s="6" t="n">
        <v>45748</v>
      </c>
      <c r="C75" s="7" t="n">
        <v>45743</v>
      </c>
      <c r="D75" s="7" t="n">
        <v>45777</v>
      </c>
      <c r="E75" s="2" t="str">
        <f aca="false">_xlfn.CONCAT(A75,D75,LEFT(G75,10))</f>
        <v>NOVA BRASIL45777PEREIRA AL</v>
      </c>
      <c r="F75" s="2" t="e">
        <f aca="false">VLOOKUP(E75,#REF!,1,0)</f>
        <v>#VALUE!</v>
      </c>
      <c r="G75" s="5" t="s">
        <v>218</v>
      </c>
      <c r="H75" s="8" t="n">
        <v>3960</v>
      </c>
      <c r="I75" s="8" t="n">
        <v>3960</v>
      </c>
      <c r="J75" s="9" t="s">
        <v>168</v>
      </c>
      <c r="K75" s="9" t="s">
        <v>139</v>
      </c>
      <c r="M75" s="9"/>
      <c r="N75" s="1" t="str">
        <f aca="false">IFERROR(I75/L75,"-")</f>
        <v>-</v>
      </c>
    </row>
    <row r="76" customFormat="false" ht="13.8" hidden="false" customHeight="false" outlineLevel="0" collapsed="false">
      <c r="A76" s="10" t="s">
        <v>335</v>
      </c>
      <c r="B76" s="6" t="n">
        <v>45748</v>
      </c>
      <c r="C76" s="7" t="n">
        <v>45743</v>
      </c>
      <c r="D76" s="7" t="n">
        <v>45777</v>
      </c>
      <c r="E76" s="2" t="str">
        <f aca="false">_xlfn.CONCAT(A76,D76,LEFT(G76,10))</f>
        <v>TH+45777REGIONAL C</v>
      </c>
      <c r="F76" s="2" t="e">
        <f aca="false">VLOOKUP(E76,#REF!,1,0)</f>
        <v>#VALUE!</v>
      </c>
      <c r="G76" s="5" t="s">
        <v>219</v>
      </c>
      <c r="H76" s="8" t="n">
        <v>1200</v>
      </c>
      <c r="I76" s="8" t="n">
        <v>1200</v>
      </c>
      <c r="J76" s="9"/>
      <c r="K76" s="9"/>
      <c r="M76" s="9"/>
      <c r="N76" s="1" t="str">
        <f aca="false">IFERROR(I76/L76,"-")</f>
        <v>-</v>
      </c>
    </row>
    <row r="77" customFormat="false" ht="13.8" hidden="false" customHeight="false" outlineLevel="0" collapsed="false">
      <c r="A77" s="10" t="s">
        <v>334</v>
      </c>
      <c r="B77" s="6" t="n">
        <v>45748</v>
      </c>
      <c r="C77" s="7" t="n">
        <v>45748</v>
      </c>
      <c r="D77" s="7" t="n">
        <v>45777</v>
      </c>
      <c r="E77" s="2" t="str">
        <f aca="false">_xlfn.CONCAT(A77,D77,LEFT(G77,10))</f>
        <v>NOVA BRASIL45777RIBERPRESS</v>
      </c>
      <c r="F77" s="2" t="e">
        <f aca="false">VLOOKUP(E77,#REF!,1,0)</f>
        <v>#VALUE!</v>
      </c>
      <c r="G77" s="5" t="s">
        <v>220</v>
      </c>
      <c r="H77" s="8" t="n">
        <v>3292.85</v>
      </c>
      <c r="I77" s="8" t="n">
        <v>3292.85</v>
      </c>
      <c r="J77" s="9" t="s">
        <v>221</v>
      </c>
      <c r="K77" s="9" t="s">
        <v>222</v>
      </c>
      <c r="M77" s="9"/>
      <c r="N77" s="1" t="str">
        <f aca="false">IFERROR(I77/L77,"-")</f>
        <v>-</v>
      </c>
    </row>
    <row r="78" customFormat="false" ht="13.8" hidden="false" customHeight="false" outlineLevel="0" collapsed="false">
      <c r="A78" s="10" t="s">
        <v>335</v>
      </c>
      <c r="B78" s="6" t="n">
        <v>45748</v>
      </c>
      <c r="C78" s="7" t="n">
        <v>45743</v>
      </c>
      <c r="D78" s="7" t="n">
        <v>45777</v>
      </c>
      <c r="E78" s="2" t="str">
        <f aca="false">_xlfn.CONCAT(A78,D78,LEFT(G78,10))</f>
        <v>TH+45777SAVEGNAGO </v>
      </c>
      <c r="F78" s="2" t="e">
        <f aca="false">VLOOKUP(E78,#REF!,1,0)</f>
        <v>#VALUE!</v>
      </c>
      <c r="G78" s="5" t="s">
        <v>223</v>
      </c>
      <c r="H78" s="8" t="n">
        <v>7333</v>
      </c>
      <c r="I78" s="8" t="n">
        <v>5866.4</v>
      </c>
      <c r="J78" s="9"/>
      <c r="K78" s="9"/>
      <c r="M78" s="9" t="s">
        <v>224</v>
      </c>
      <c r="N78" s="1" t="str">
        <f aca="false">IFERROR(I78/L78,"-")</f>
        <v>-</v>
      </c>
    </row>
    <row r="79" customFormat="false" ht="13.8" hidden="false" customHeight="false" outlineLevel="0" collapsed="false">
      <c r="A79" s="10" t="s">
        <v>335</v>
      </c>
      <c r="B79" s="6" t="n">
        <v>45748</v>
      </c>
      <c r="C79" s="7" t="n">
        <v>45743</v>
      </c>
      <c r="D79" s="7" t="n">
        <v>45777</v>
      </c>
      <c r="E79" s="2" t="str">
        <f aca="false">_xlfn.CONCAT(A79,D79,LEFT(G79,10))</f>
        <v>TH+45777SAVEGNAGO </v>
      </c>
      <c r="F79" s="2" t="e">
        <f aca="false">VLOOKUP(E79,#REF!,1,0)</f>
        <v>#VALUE!</v>
      </c>
      <c r="G79" s="5" t="s">
        <v>223</v>
      </c>
      <c r="H79" s="8" t="n">
        <v>3094</v>
      </c>
      <c r="I79" s="8" t="n">
        <v>2475.2</v>
      </c>
      <c r="J79" s="9"/>
      <c r="K79" s="9"/>
      <c r="M79" s="9" t="s">
        <v>224</v>
      </c>
      <c r="N79" s="1" t="str">
        <f aca="false">IFERROR(I79/L79,"-")</f>
        <v>-</v>
      </c>
    </row>
    <row r="80" customFormat="false" ht="13.8" hidden="false" customHeight="false" outlineLevel="0" collapsed="false">
      <c r="A80" s="10" t="s">
        <v>335</v>
      </c>
      <c r="B80" s="6" t="n">
        <v>45748</v>
      </c>
      <c r="C80" s="7" t="n">
        <v>45743</v>
      </c>
      <c r="D80" s="7" t="n">
        <v>45777</v>
      </c>
      <c r="E80" s="2" t="str">
        <f aca="false">_xlfn.CONCAT(A80,D80,LEFT(G80,10))</f>
        <v>TH+45777SAVEGNAGO </v>
      </c>
      <c r="F80" s="2" t="e">
        <f aca="false">VLOOKUP(E80,#REF!,1,0)</f>
        <v>#VALUE!</v>
      </c>
      <c r="G80" s="5" t="s">
        <v>223</v>
      </c>
      <c r="H80" s="8" t="n">
        <v>3094</v>
      </c>
      <c r="I80" s="8" t="n">
        <v>2475.2</v>
      </c>
      <c r="J80" s="9"/>
      <c r="K80" s="9"/>
      <c r="M80" s="9" t="s">
        <v>224</v>
      </c>
      <c r="N80" s="1" t="str">
        <f aca="false">IFERROR(I80/L80,"-")</f>
        <v>-</v>
      </c>
    </row>
    <row r="81" customFormat="false" ht="13.8" hidden="false" customHeight="false" outlineLevel="0" collapsed="false">
      <c r="A81" s="10" t="s">
        <v>335</v>
      </c>
      <c r="B81" s="6" t="n">
        <v>45748</v>
      </c>
      <c r="C81" s="7" t="n">
        <v>45743</v>
      </c>
      <c r="D81" s="7" t="n">
        <v>45777</v>
      </c>
      <c r="E81" s="2" t="str">
        <f aca="false">_xlfn.CONCAT(A81,D81,LEFT(G81,10))</f>
        <v>TH+45777SAVEGNAGO </v>
      </c>
      <c r="F81" s="2" t="e">
        <f aca="false">VLOOKUP(E81,#REF!,1,0)</f>
        <v>#VALUE!</v>
      </c>
      <c r="G81" s="5" t="s">
        <v>223</v>
      </c>
      <c r="H81" s="8" t="n">
        <v>1875</v>
      </c>
      <c r="I81" s="8" t="n">
        <v>1500</v>
      </c>
      <c r="J81" s="9"/>
      <c r="K81" s="9"/>
      <c r="M81" s="9" t="s">
        <v>224</v>
      </c>
      <c r="N81" s="1" t="str">
        <f aca="false">IFERROR(I81/L81,"-")</f>
        <v>-</v>
      </c>
    </row>
    <row r="82" customFormat="false" ht="13.8" hidden="false" customHeight="false" outlineLevel="0" collapsed="false">
      <c r="A82" s="10" t="s">
        <v>334</v>
      </c>
      <c r="B82" s="6" t="n">
        <v>45748</v>
      </c>
      <c r="C82" s="7" t="n">
        <v>45771</v>
      </c>
      <c r="D82" s="7" t="n">
        <v>45777</v>
      </c>
      <c r="E82" s="2" t="str">
        <f aca="false">_xlfn.CONCAT(A82,D82,LEFT(G82,10))</f>
        <v>NOVA BRASIL45777SECRETARIA</v>
      </c>
      <c r="F82" s="2" t="e">
        <f aca="false">VLOOKUP(E82,#REF!,1,0)</f>
        <v>#VALUE!</v>
      </c>
      <c r="G82" s="5" t="s">
        <v>225</v>
      </c>
      <c r="H82" s="8" t="n">
        <v>1100</v>
      </c>
      <c r="I82" s="8" t="n">
        <v>880</v>
      </c>
      <c r="J82" s="9" t="s">
        <v>226</v>
      </c>
      <c r="K82" s="9" t="s">
        <v>152</v>
      </c>
      <c r="M82" s="9" t="s">
        <v>227</v>
      </c>
      <c r="N82" s="1" t="str">
        <f aca="false">IFERROR(I82/L82,"-")</f>
        <v>-</v>
      </c>
    </row>
    <row r="83" customFormat="false" ht="13.8" hidden="false" customHeight="false" outlineLevel="0" collapsed="false">
      <c r="A83" s="10" t="s">
        <v>334</v>
      </c>
      <c r="B83" s="6" t="n">
        <v>45748</v>
      </c>
      <c r="C83" s="7" t="n">
        <v>45764</v>
      </c>
      <c r="D83" s="7" t="n">
        <v>45777</v>
      </c>
      <c r="E83" s="2" t="str">
        <f aca="false">_xlfn.CONCAT(A83,D83,LEFT(G83,10))</f>
        <v>NOVA BRASIL45777SICOOB COC</v>
      </c>
      <c r="F83" s="2" t="e">
        <f aca="false">VLOOKUP(E83,#REF!,1,0)</f>
        <v>#VALUE!</v>
      </c>
      <c r="G83" s="5" t="s">
        <v>228</v>
      </c>
      <c r="H83" s="8" t="n">
        <v>1915.2</v>
      </c>
      <c r="I83" s="8" t="n">
        <v>1532.16</v>
      </c>
      <c r="J83" s="9"/>
      <c r="K83" s="9" t="s">
        <v>139</v>
      </c>
      <c r="M83" s="9" t="s">
        <v>157</v>
      </c>
      <c r="N83" s="1" t="str">
        <f aca="false">IFERROR(I83/L83,"-")</f>
        <v>-</v>
      </c>
    </row>
    <row r="84" customFormat="false" ht="13.8" hidden="false" customHeight="false" outlineLevel="0" collapsed="false">
      <c r="A84" s="10" t="s">
        <v>335</v>
      </c>
      <c r="B84" s="6" t="n">
        <v>45748</v>
      </c>
      <c r="C84" s="7" t="n">
        <v>45743</v>
      </c>
      <c r="D84" s="7" t="n">
        <v>45777</v>
      </c>
      <c r="E84" s="2" t="str">
        <f aca="false">_xlfn.CONCAT(A84,D84,LEFT(G84,10))</f>
        <v>TH+45777SINDICATO </v>
      </c>
      <c r="F84" s="2" t="e">
        <f aca="false">VLOOKUP(E84,#REF!,1,0)</f>
        <v>#VALUE!</v>
      </c>
      <c r="G84" s="5" t="s">
        <v>229</v>
      </c>
      <c r="H84" s="8" t="n">
        <v>1500</v>
      </c>
      <c r="I84" s="8" t="n">
        <v>1500</v>
      </c>
      <c r="J84" s="9"/>
      <c r="K84" s="9"/>
      <c r="M84" s="9"/>
      <c r="N84" s="1" t="str">
        <f aca="false">IFERROR(I84/L84,"-")</f>
        <v>-</v>
      </c>
    </row>
    <row r="85" customFormat="false" ht="13.8" hidden="false" customHeight="false" outlineLevel="0" collapsed="false">
      <c r="A85" s="10" t="s">
        <v>335</v>
      </c>
      <c r="B85" s="6" t="n">
        <v>45748</v>
      </c>
      <c r="C85" s="7" t="n">
        <v>45743</v>
      </c>
      <c r="D85" s="7" t="n">
        <v>45777</v>
      </c>
      <c r="E85" s="2" t="str">
        <f aca="false">_xlfn.CONCAT(A85,D85,LEFT(G85,10))</f>
        <v>TH+45777SINDICATO </v>
      </c>
      <c r="F85" s="2" t="e">
        <f aca="false">VLOOKUP(E85,#REF!,1,0)</f>
        <v>#VALUE!</v>
      </c>
      <c r="G85" s="5" t="s">
        <v>230</v>
      </c>
      <c r="H85" s="8" t="n">
        <v>2500</v>
      </c>
      <c r="I85" s="8" t="n">
        <v>2500</v>
      </c>
      <c r="J85" s="9"/>
      <c r="K85" s="9"/>
      <c r="M85" s="9"/>
      <c r="N85" s="1" t="str">
        <f aca="false">IFERROR(I85/L85,"-")</f>
        <v>-</v>
      </c>
    </row>
    <row r="86" customFormat="false" ht="13.8" hidden="false" customHeight="false" outlineLevel="0" collapsed="false">
      <c r="A86" s="10" t="s">
        <v>335</v>
      </c>
      <c r="B86" s="6" t="n">
        <v>45748</v>
      </c>
      <c r="C86" s="7" t="n">
        <v>45743</v>
      </c>
      <c r="D86" s="7" t="n">
        <v>45777</v>
      </c>
      <c r="E86" s="2" t="str">
        <f aca="false">_xlfn.CONCAT(A86,D86,LEFT(G86,10))</f>
        <v>TH+45777SINDICATO </v>
      </c>
      <c r="F86" s="2" t="e">
        <f aca="false">VLOOKUP(E86,#REF!,1,0)</f>
        <v>#VALUE!</v>
      </c>
      <c r="G86" s="5" t="s">
        <v>230</v>
      </c>
      <c r="H86" s="8" t="n">
        <v>2500</v>
      </c>
      <c r="I86" s="8" t="n">
        <v>2500</v>
      </c>
      <c r="J86" s="9" t="s">
        <v>231</v>
      </c>
      <c r="K86" s="9"/>
      <c r="M86" s="9"/>
      <c r="N86" s="1" t="str">
        <f aca="false">IFERROR(I86/L86,"-")</f>
        <v>-</v>
      </c>
    </row>
    <row r="87" customFormat="false" ht="13.8" hidden="false" customHeight="false" outlineLevel="0" collapsed="false">
      <c r="A87" s="10" t="s">
        <v>335</v>
      </c>
      <c r="B87" s="6" t="n">
        <v>45748</v>
      </c>
      <c r="C87" s="7" t="n">
        <v>45743</v>
      </c>
      <c r="D87" s="7" t="n">
        <v>45777</v>
      </c>
      <c r="E87" s="2" t="str">
        <f aca="false">_xlfn.CONCAT(A87,D87,LEFT(G87,10))</f>
        <v>TH+45777SOLUÇÕES T</v>
      </c>
      <c r="F87" s="2" t="e">
        <f aca="false">VLOOKUP(E87,#REF!,1,0)</f>
        <v>#VALUE!</v>
      </c>
      <c r="G87" s="5" t="s">
        <v>232</v>
      </c>
      <c r="H87" s="8" t="n">
        <v>2500</v>
      </c>
      <c r="I87" s="8" t="n">
        <v>2500</v>
      </c>
      <c r="J87" s="9"/>
      <c r="K87" s="9"/>
      <c r="M87" s="9"/>
      <c r="N87" s="1" t="str">
        <f aca="false">IFERROR(I87/L87,"-")</f>
        <v>-</v>
      </c>
    </row>
    <row r="88" customFormat="false" ht="13.8" hidden="false" customHeight="false" outlineLevel="0" collapsed="false">
      <c r="A88" s="10" t="s">
        <v>334</v>
      </c>
      <c r="B88" s="6" t="n">
        <v>45748</v>
      </c>
      <c r="C88" s="7" t="n">
        <v>45772</v>
      </c>
      <c r="D88" s="7" t="n">
        <v>45777</v>
      </c>
      <c r="E88" s="2" t="str">
        <f aca="false">_xlfn.CONCAT(A88,D88,LEFT(G88,10))</f>
        <v>NOVA BRASIL45777SPE URBEN </v>
      </c>
      <c r="F88" s="2" t="e">
        <f aca="false">VLOOKUP(E88,#REF!,1,0)</f>
        <v>#VALUE!</v>
      </c>
      <c r="G88" s="5" t="s">
        <v>156</v>
      </c>
      <c r="H88" s="8" t="n">
        <v>750</v>
      </c>
      <c r="I88" s="8" t="n">
        <v>600</v>
      </c>
      <c r="J88" s="9"/>
      <c r="K88" s="9" t="s">
        <v>139</v>
      </c>
      <c r="M88" s="9" t="s">
        <v>157</v>
      </c>
      <c r="N88" s="1" t="str">
        <f aca="false">IFERROR(I88/L88,"-")</f>
        <v>-</v>
      </c>
    </row>
    <row r="89" customFormat="false" ht="13.8" hidden="false" customHeight="false" outlineLevel="0" collapsed="false">
      <c r="A89" s="10" t="s">
        <v>335</v>
      </c>
      <c r="B89" s="6" t="n">
        <v>45748</v>
      </c>
      <c r="C89" s="7" t="n">
        <v>45743</v>
      </c>
      <c r="D89" s="7" t="n">
        <v>45777</v>
      </c>
      <c r="E89" s="2" t="str">
        <f aca="false">_xlfn.CONCAT(A89,D89,LEFT(G89,10))</f>
        <v>TH+45777SUPERMERCA</v>
      </c>
      <c r="F89" s="2" t="e">
        <f aca="false">VLOOKUP(E89,#REF!,1,0)</f>
        <v>#VALUE!</v>
      </c>
      <c r="G89" s="5" t="s">
        <v>233</v>
      </c>
      <c r="H89" s="8" t="n">
        <v>1200</v>
      </c>
      <c r="I89" s="8" t="n">
        <v>1200</v>
      </c>
      <c r="J89" s="9"/>
      <c r="K89" s="9"/>
      <c r="M89" s="9"/>
      <c r="N89" s="1" t="str">
        <f aca="false">IFERROR(I89/L89,"-")</f>
        <v>-</v>
      </c>
    </row>
    <row r="90" customFormat="false" ht="13.8" hidden="false" customHeight="false" outlineLevel="0" collapsed="false">
      <c r="A90" s="10" t="s">
        <v>12</v>
      </c>
      <c r="B90" s="6" t="n">
        <v>45748</v>
      </c>
      <c r="C90" s="7" t="n">
        <v>45748</v>
      </c>
      <c r="D90" s="7" t="n">
        <v>45777</v>
      </c>
      <c r="E90" s="2" t="str">
        <f aca="false">_xlfn.CONCAT(A90,D90,LEFT(G90,10))</f>
        <v>DIFUSORA45777USPD UNIDA</v>
      </c>
      <c r="F90" s="2" t="e">
        <f aca="false">VLOOKUP(E90,#REF!,1,0)</f>
        <v>#VALUE!</v>
      </c>
      <c r="G90" s="5" t="s">
        <v>234</v>
      </c>
      <c r="H90" s="8" t="n">
        <v>4995</v>
      </c>
      <c r="I90" s="8" t="n">
        <v>4995</v>
      </c>
      <c r="J90" s="9"/>
      <c r="K90" s="9"/>
      <c r="M90" s="9"/>
      <c r="N90" s="1" t="str">
        <f aca="false">IFERROR(I90/L90,"-")</f>
        <v>-</v>
      </c>
    </row>
    <row r="91" customFormat="false" ht="13.8" hidden="false" customHeight="false" outlineLevel="0" collapsed="false">
      <c r="A91" s="10" t="s">
        <v>334</v>
      </c>
      <c r="B91" s="6" t="n">
        <v>45748</v>
      </c>
      <c r="C91" s="7" t="n">
        <v>45758</v>
      </c>
      <c r="D91" s="7" t="n">
        <v>45777</v>
      </c>
      <c r="E91" s="2" t="str">
        <f aca="false">_xlfn.CONCAT(A91,D91,LEFT(G91,10))</f>
        <v>NOVA BRASIL45777WJJ VEICLU</v>
      </c>
      <c r="F91" s="2" t="e">
        <f aca="false">VLOOKUP(E91,#REF!,1,0)</f>
        <v>#VALUE!</v>
      </c>
      <c r="G91" s="5" t="s">
        <v>235</v>
      </c>
      <c r="H91" s="8" t="n">
        <v>2000</v>
      </c>
      <c r="I91" s="8" t="n">
        <v>2000</v>
      </c>
      <c r="J91" s="9"/>
      <c r="K91" s="9" t="s">
        <v>139</v>
      </c>
      <c r="M91" s="9"/>
      <c r="N91" s="1" t="str">
        <f aca="false">IFERROR(I91/L91,"-")</f>
        <v>-</v>
      </c>
    </row>
    <row r="92" customFormat="false" ht="13.8" hidden="false" customHeight="false" outlineLevel="0" collapsed="false">
      <c r="A92" s="5" t="s">
        <v>236</v>
      </c>
      <c r="B92" s="6" t="n">
        <v>45778</v>
      </c>
      <c r="C92" s="11" t="n">
        <v>45748</v>
      </c>
      <c r="D92" s="11" t="n">
        <v>45777</v>
      </c>
      <c r="E92" s="2" t="str">
        <f aca="false">_xlfn.CONCAT(A92,D92,LEFT(G92,10))</f>
        <v>ADRIANA DOS SANTOS SOUZA45777ADRIANA DO</v>
      </c>
      <c r="F92" s="2" t="e">
        <f aca="false">VLOOKUP(E92,#REF!,1,0)</f>
        <v>#VALUE!</v>
      </c>
      <c r="G92" s="5" t="s">
        <v>236</v>
      </c>
      <c r="H92" s="8" t="n">
        <v>2000</v>
      </c>
      <c r="I92" s="8" t="n">
        <v>2000</v>
      </c>
      <c r="J92" s="9"/>
      <c r="L92" s="12" t="n">
        <v>4</v>
      </c>
      <c r="N92" s="1" t="n">
        <f aca="false">IFERROR(I92/L92,"-")</f>
        <v>500</v>
      </c>
    </row>
    <row r="93" customFormat="false" ht="13.8" hidden="false" customHeight="false" outlineLevel="0" collapsed="false">
      <c r="A93" s="5" t="s">
        <v>164</v>
      </c>
      <c r="B93" s="6" t="n">
        <v>45778</v>
      </c>
      <c r="C93" s="11" t="n">
        <v>45477</v>
      </c>
      <c r="D93" s="11" t="n">
        <v>45777</v>
      </c>
      <c r="E93" s="2" t="str">
        <f aca="false">_xlfn.CONCAT(A93,D93,LEFT(G93,10))</f>
        <v>ALMEIDA LIMA SOCIEDADE DE ADVOGADOS45777ALMEIDA LI</v>
      </c>
      <c r="F93" s="2" t="e">
        <f aca="false">VLOOKUP(E93,#REF!,1,0)</f>
        <v>#VALUE!</v>
      </c>
      <c r="G93" s="5" t="s">
        <v>164</v>
      </c>
      <c r="H93" s="8" t="n">
        <v>750</v>
      </c>
      <c r="I93" s="8" t="n">
        <v>750</v>
      </c>
      <c r="J93" s="9"/>
      <c r="L93" s="12" t="n">
        <v>22</v>
      </c>
      <c r="N93" s="1" t="n">
        <f aca="false">IFERROR(I93/L93,"-")</f>
        <v>34.0909090909091</v>
      </c>
    </row>
    <row r="94" customFormat="false" ht="13.8" hidden="false" customHeight="false" outlineLevel="0" collapsed="false">
      <c r="A94" s="5" t="s">
        <v>167</v>
      </c>
      <c r="B94" s="6" t="n">
        <v>45778</v>
      </c>
      <c r="C94" s="11" t="n">
        <v>45643</v>
      </c>
      <c r="D94" s="11" t="n">
        <v>45777</v>
      </c>
      <c r="E94" s="2" t="str">
        <f aca="false">_xlfn.CONCAT(A94,D94,LEFT(G94,10))</f>
        <v>AMBIENT SERVIÇOS AMBIENTAIS45777AMBIENT SE</v>
      </c>
      <c r="F94" s="2" t="e">
        <f aca="false">VLOOKUP(E94,#REF!,1,0)</f>
        <v>#VALUE!</v>
      </c>
      <c r="G94" s="5" t="s">
        <v>167</v>
      </c>
      <c r="H94" s="8" t="n">
        <v>12430</v>
      </c>
      <c r="I94" s="8" t="n">
        <v>12430</v>
      </c>
      <c r="J94" s="9" t="s">
        <v>168</v>
      </c>
      <c r="L94" s="12" t="n">
        <v>44</v>
      </c>
      <c r="N94" s="1" t="n">
        <f aca="false">IFERROR(I94/L94,"-")</f>
        <v>282.5</v>
      </c>
    </row>
    <row r="95" customFormat="false" ht="13.8" hidden="false" customHeight="false" outlineLevel="0" collapsed="false">
      <c r="A95" s="5" t="s">
        <v>169</v>
      </c>
      <c r="B95" s="6" t="n">
        <v>45778</v>
      </c>
      <c r="C95" s="11" t="n">
        <v>45665</v>
      </c>
      <c r="D95" s="11" t="n">
        <v>45777</v>
      </c>
      <c r="E95" s="2" t="str">
        <f aca="false">_xlfn.CONCAT(A95,D95,LEFT(G95,10))</f>
        <v>APEOESP SINDICATO DOS PROFESSORES45777APEOESP SI</v>
      </c>
      <c r="F95" s="2" t="e">
        <f aca="false">VLOOKUP(E95,#REF!,1,0)</f>
        <v>#VALUE!</v>
      </c>
      <c r="G95" s="5" t="s">
        <v>169</v>
      </c>
      <c r="H95" s="8" t="n">
        <v>4270</v>
      </c>
      <c r="I95" s="8" t="n">
        <v>4270</v>
      </c>
      <c r="J95" s="9"/>
      <c r="L95" s="12" t="n">
        <v>4</v>
      </c>
      <c r="N95" s="1" t="n">
        <f aca="false">IFERROR(I95/L95,"-")</f>
        <v>1067.5</v>
      </c>
    </row>
    <row r="96" customFormat="false" ht="13.8" hidden="false" customHeight="false" outlineLevel="0" collapsed="false">
      <c r="A96" s="5" t="s">
        <v>237</v>
      </c>
      <c r="B96" s="6" t="n">
        <v>45778</v>
      </c>
      <c r="C96" s="11" t="n">
        <v>45761</v>
      </c>
      <c r="D96" s="11" t="n">
        <v>45777</v>
      </c>
      <c r="E96" s="2" t="str">
        <f aca="false">_xlfn.CONCAT(A96,D96,LEFT(G96,10))</f>
        <v>ASSOC UNIF PTA DO ENSINO RENOVADO45777ASSOC UNIF</v>
      </c>
      <c r="F96" s="2" t="e">
        <f aca="false">VLOOKUP(E96,#REF!,1,0)</f>
        <v>#VALUE!</v>
      </c>
      <c r="G96" s="5" t="s">
        <v>237</v>
      </c>
      <c r="H96" s="8" t="n">
        <v>1212.27</v>
      </c>
      <c r="I96" s="8" t="n">
        <v>969.816</v>
      </c>
      <c r="J96" s="9"/>
      <c r="K96" s="1" t="s">
        <v>171</v>
      </c>
      <c r="L96" s="12" t="n">
        <v>16</v>
      </c>
      <c r="M96" s="1" t="s">
        <v>238</v>
      </c>
      <c r="N96" s="1" t="n">
        <f aca="false">IFERROR(I96/L96,"-")</f>
        <v>60.6135</v>
      </c>
    </row>
    <row r="97" customFormat="false" ht="13.8" hidden="false" customHeight="false" outlineLevel="0" collapsed="false">
      <c r="A97" s="5" t="s">
        <v>174</v>
      </c>
      <c r="B97" s="6" t="n">
        <v>45778</v>
      </c>
      <c r="C97" s="11" t="n">
        <v>45629</v>
      </c>
      <c r="D97" s="11" t="n">
        <v>45777</v>
      </c>
      <c r="E97" s="2" t="str">
        <f aca="false">_xlfn.CONCAT(A97,D97,LEFT(G97,10))</f>
        <v>ASSOCIAÇÃO DA SANTA CASA SAÚDE RIB PRETO45777ASSOCIAÇÃO</v>
      </c>
      <c r="F97" s="2" t="e">
        <f aca="false">VLOOKUP(E97,#REF!,1,0)</f>
        <v>#VALUE!</v>
      </c>
      <c r="G97" s="5" t="s">
        <v>174</v>
      </c>
      <c r="H97" s="8" t="n">
        <v>2000</v>
      </c>
      <c r="I97" s="8" t="n">
        <v>2000</v>
      </c>
      <c r="J97" s="9"/>
      <c r="L97" s="12" t="n">
        <v>22</v>
      </c>
      <c r="N97" s="1" t="n">
        <f aca="false">IFERROR(I97/L97,"-")</f>
        <v>90.9090909090909</v>
      </c>
    </row>
    <row r="98" customFormat="false" ht="13.8" hidden="false" customHeight="false" outlineLevel="0" collapsed="false">
      <c r="A98" s="5" t="s">
        <v>175</v>
      </c>
      <c r="B98" s="6" t="n">
        <v>45778</v>
      </c>
      <c r="C98" s="11" t="n">
        <v>45772</v>
      </c>
      <c r="D98" s="11" t="n">
        <v>45777</v>
      </c>
      <c r="E98" s="2" t="str">
        <f aca="false">_xlfn.CONCAT(A98,D98,LEFT(G98,10))</f>
        <v>ASSOCIAÇÃO DOS LOJISTAS DO SHOPPING ANÁLIA45777ASSOCIAÇÃO</v>
      </c>
      <c r="F98" s="2" t="e">
        <f aca="false">VLOOKUP(E98,#REF!,1,0)</f>
        <v>#VALUE!</v>
      </c>
      <c r="G98" s="5" t="s">
        <v>175</v>
      </c>
      <c r="H98" s="8" t="n">
        <v>14580</v>
      </c>
      <c r="I98" s="8" t="n">
        <v>11664</v>
      </c>
      <c r="J98" s="9" t="s">
        <v>176</v>
      </c>
      <c r="K98" s="1" t="s">
        <v>177</v>
      </c>
      <c r="L98" s="12" t="n">
        <v>45</v>
      </c>
      <c r="M98" s="1" t="s">
        <v>172</v>
      </c>
      <c r="N98" s="1" t="n">
        <f aca="false">IFERROR(I98/L98,"-")</f>
        <v>259.2</v>
      </c>
    </row>
    <row r="99" customFormat="false" ht="13.8" hidden="false" customHeight="false" outlineLevel="0" collapsed="false">
      <c r="A99" s="5" t="s">
        <v>178</v>
      </c>
      <c r="B99" s="6" t="n">
        <v>45778</v>
      </c>
      <c r="C99" s="11" t="n">
        <v>45670</v>
      </c>
      <c r="D99" s="11" t="n">
        <v>45777</v>
      </c>
      <c r="E99" s="2" t="str">
        <f aca="false">_xlfn.CONCAT(A99,D99,LEFT(G99,10))</f>
        <v>BALAU MADEIRAS INDUSTRIA45777BALAU MADE</v>
      </c>
      <c r="F99" s="2" t="e">
        <f aca="false">VLOOKUP(E99,#REF!,1,0)</f>
        <v>#VALUE!</v>
      </c>
      <c r="G99" s="5" t="s">
        <v>178</v>
      </c>
      <c r="H99" s="8" t="n">
        <v>1500</v>
      </c>
      <c r="I99" s="8" t="n">
        <v>1500</v>
      </c>
      <c r="J99" s="9"/>
      <c r="L99" s="12" t="n">
        <v>22</v>
      </c>
      <c r="N99" s="1" t="n">
        <f aca="false">IFERROR(I99/L99,"-")</f>
        <v>68.1818181818182</v>
      </c>
    </row>
    <row r="100" customFormat="false" ht="13.8" hidden="false" customHeight="false" outlineLevel="0" collapsed="false">
      <c r="A100" s="5" t="s">
        <v>181</v>
      </c>
      <c r="B100" s="6" t="n">
        <v>45778</v>
      </c>
      <c r="C100" s="11" t="n">
        <v>45743</v>
      </c>
      <c r="D100" s="11" t="n">
        <v>45777</v>
      </c>
      <c r="E100" s="2" t="str">
        <f aca="false">_xlfn.CONCAT(A100,D100,LEFT(G100,10))</f>
        <v>BASEQUIMICA PRODUTOS QUIMICOS45777BASEQUIMIC</v>
      </c>
      <c r="F100" s="2" t="e">
        <f aca="false">VLOOKUP(E100,#REF!,1,0)</f>
        <v>#VALUE!</v>
      </c>
      <c r="G100" s="5" t="s">
        <v>181</v>
      </c>
      <c r="H100" s="8" t="n">
        <v>2500</v>
      </c>
      <c r="I100" s="8" t="n">
        <v>2500</v>
      </c>
      <c r="J100" s="9" t="s">
        <v>182</v>
      </c>
      <c r="L100" s="12" t="n">
        <v>22</v>
      </c>
      <c r="M100" s="1" t="s">
        <v>183</v>
      </c>
      <c r="N100" s="1" t="n">
        <f aca="false">IFERROR(I100/L100,"-")</f>
        <v>113.636363636364</v>
      </c>
    </row>
    <row r="101" customFormat="false" ht="13.8" hidden="false" customHeight="false" outlineLevel="0" collapsed="false">
      <c r="A101" s="5" t="s">
        <v>184</v>
      </c>
      <c r="B101" s="6" t="n">
        <v>45778</v>
      </c>
      <c r="C101" s="11" t="n">
        <v>45678</v>
      </c>
      <c r="D101" s="11" t="n">
        <v>45777</v>
      </c>
      <c r="E101" s="2" t="str">
        <f aca="false">_xlfn.CONCAT(A101,D101,LEFT(G101,10))</f>
        <v>BEZERRA SAKURAI E URSI CLINICA45777BEZERRA SA</v>
      </c>
      <c r="F101" s="2" t="e">
        <f aca="false">VLOOKUP(E101,#REF!,1,0)</f>
        <v>#VALUE!</v>
      </c>
      <c r="G101" s="5" t="s">
        <v>184</v>
      </c>
      <c r="H101" s="8" t="n">
        <v>2200</v>
      </c>
      <c r="I101" s="8" t="n">
        <v>2200</v>
      </c>
      <c r="J101" s="9"/>
      <c r="L101" s="12" t="n">
        <v>22</v>
      </c>
      <c r="N101" s="1" t="n">
        <f aca="false">IFERROR(I101/L101,"-")</f>
        <v>100</v>
      </c>
    </row>
    <row r="102" customFormat="false" ht="13.8" hidden="false" customHeight="false" outlineLevel="0" collapsed="false">
      <c r="A102" s="5" t="s">
        <v>187</v>
      </c>
      <c r="B102" s="6" t="n">
        <v>45778</v>
      </c>
      <c r="C102" s="11" t="n">
        <v>45743</v>
      </c>
      <c r="D102" s="11" t="n">
        <v>45777</v>
      </c>
      <c r="E102" s="2" t="str">
        <f aca="false">_xlfn.CONCAT(A102,D102,LEFT(G102,10))</f>
        <v>C.W. ARTIGOS PARA PRESENTE45777C.W. ARTIG</v>
      </c>
      <c r="F102" s="2" t="e">
        <f aca="false">VLOOKUP(E102,#REF!,1,0)</f>
        <v>#VALUE!</v>
      </c>
      <c r="G102" s="5" t="s">
        <v>187</v>
      </c>
      <c r="H102" s="8" t="n">
        <v>1250</v>
      </c>
      <c r="I102" s="8" t="n">
        <v>1250</v>
      </c>
      <c r="J102" s="9"/>
      <c r="L102" s="12" t="n">
        <v>11</v>
      </c>
      <c r="N102" s="1" t="n">
        <f aca="false">IFERROR(I102/L102,"-")</f>
        <v>113.636363636364</v>
      </c>
    </row>
    <row r="103" customFormat="false" ht="13.8" hidden="false" customHeight="false" outlineLevel="0" collapsed="false">
      <c r="A103" s="5" t="s">
        <v>187</v>
      </c>
      <c r="B103" s="6" t="n">
        <v>45778</v>
      </c>
      <c r="C103" s="11" t="n">
        <v>45743</v>
      </c>
      <c r="D103" s="11" t="n">
        <v>45777</v>
      </c>
      <c r="E103" s="2" t="str">
        <f aca="false">_xlfn.CONCAT(A103,D103,LEFT(G103,10))</f>
        <v>C.W. ARTIGOS PARA PRESENTE45777C.W. ARTIG</v>
      </c>
      <c r="F103" s="2" t="e">
        <f aca="false">VLOOKUP(E103,#REF!,1,0)</f>
        <v>#VALUE!</v>
      </c>
      <c r="G103" s="5" t="s">
        <v>187</v>
      </c>
      <c r="H103" s="8" t="n">
        <v>1250</v>
      </c>
      <c r="I103" s="8" t="n">
        <v>1250</v>
      </c>
      <c r="J103" s="9"/>
      <c r="L103" s="12" t="n">
        <v>11</v>
      </c>
      <c r="N103" s="1" t="n">
        <f aca="false">IFERROR(I103/L103,"-")</f>
        <v>113.636363636364</v>
      </c>
    </row>
    <row r="104" customFormat="false" ht="13.8" hidden="false" customHeight="false" outlineLevel="0" collapsed="false">
      <c r="A104" s="5" t="s">
        <v>188</v>
      </c>
      <c r="B104" s="6" t="n">
        <v>45778</v>
      </c>
      <c r="C104" s="11" t="n">
        <v>45670</v>
      </c>
      <c r="D104" s="11" t="n">
        <v>45777</v>
      </c>
      <c r="E104" s="2" t="str">
        <f aca="false">_xlfn.CONCAT(A104,D104,LEFT(G104,10))</f>
        <v>CAÇOLA EMBALAGENS LTDA45777CAÇOLA EMB</v>
      </c>
      <c r="F104" s="2" t="e">
        <f aca="false">VLOOKUP(E104,#REF!,1,0)</f>
        <v>#VALUE!</v>
      </c>
      <c r="G104" s="5" t="s">
        <v>188</v>
      </c>
      <c r="H104" s="8" t="n">
        <v>1000</v>
      </c>
      <c r="I104" s="8" t="n">
        <v>1000</v>
      </c>
      <c r="J104" s="9"/>
      <c r="L104" s="12" t="n">
        <v>22</v>
      </c>
      <c r="N104" s="1" t="n">
        <f aca="false">IFERROR(I104/L104,"-")</f>
        <v>45.4545454545455</v>
      </c>
    </row>
    <row r="105" customFormat="false" ht="13.8" hidden="false" customHeight="false" outlineLevel="0" collapsed="false">
      <c r="A105" s="5" t="s">
        <v>189</v>
      </c>
      <c r="B105" s="6" t="n">
        <v>45778</v>
      </c>
      <c r="C105" s="11" t="n">
        <v>45670</v>
      </c>
      <c r="D105" s="11" t="n">
        <v>45777</v>
      </c>
      <c r="E105" s="2" t="str">
        <f aca="false">_xlfn.CONCAT(A105,D105,LEFT(G105,10))</f>
        <v>CANAFORTE COMERCIO MAQUINAS45777CANAFORTE </v>
      </c>
      <c r="F105" s="2" t="e">
        <f aca="false">VLOOKUP(E105,#REF!,1,0)</f>
        <v>#VALUE!</v>
      </c>
      <c r="G105" s="5" t="s">
        <v>189</v>
      </c>
      <c r="H105" s="8" t="n">
        <v>1000</v>
      </c>
      <c r="I105" s="8" t="n">
        <v>1000</v>
      </c>
      <c r="J105" s="9"/>
      <c r="L105" s="12" t="n">
        <v>22</v>
      </c>
      <c r="N105" s="1" t="n">
        <f aca="false">IFERROR(I105/L105,"-")</f>
        <v>45.4545454545455</v>
      </c>
    </row>
    <row r="106" customFormat="false" ht="13.8" hidden="false" customHeight="false" outlineLevel="0" collapsed="false">
      <c r="A106" s="5" t="s">
        <v>190</v>
      </c>
      <c r="B106" s="6" t="n">
        <v>45778</v>
      </c>
      <c r="C106" s="11" t="n">
        <v>45670</v>
      </c>
      <c r="D106" s="11" t="n">
        <v>45777</v>
      </c>
      <c r="E106" s="2" t="str">
        <f aca="false">_xlfn.CONCAT(A106,D106,LEFT(G106,10))</f>
        <v>CESAR HENRIQUE SALOMÃO45777CESAR HENR</v>
      </c>
      <c r="F106" s="2" t="e">
        <f aca="false">VLOOKUP(E106,#REF!,1,0)</f>
        <v>#VALUE!</v>
      </c>
      <c r="G106" s="5" t="s">
        <v>190</v>
      </c>
      <c r="H106" s="8" t="n">
        <v>500</v>
      </c>
      <c r="I106" s="8" t="n">
        <v>500</v>
      </c>
      <c r="J106" s="9"/>
      <c r="L106" s="12" t="n">
        <v>11</v>
      </c>
      <c r="N106" s="1" t="n">
        <f aca="false">IFERROR(I106/L106,"-")</f>
        <v>45.4545454545455</v>
      </c>
    </row>
    <row r="107" customFormat="false" ht="13.8" hidden="false" customHeight="false" outlineLevel="0" collapsed="false">
      <c r="A107" s="5" t="s">
        <v>191</v>
      </c>
      <c r="B107" s="6" t="n">
        <v>45778</v>
      </c>
      <c r="C107" s="11" t="n">
        <v>45665</v>
      </c>
      <c r="D107" s="11" t="n">
        <v>45777</v>
      </c>
      <c r="E107" s="2" t="str">
        <f aca="false">_xlfn.CONCAT(A107,D107,LEFT(G107,10))</f>
        <v>CLAUDIA RENATA MASSUIA FERREIRA45777CLAUDIA RE</v>
      </c>
      <c r="F107" s="2" t="e">
        <f aca="false">VLOOKUP(E107,#REF!,1,0)</f>
        <v>#VALUE!</v>
      </c>
      <c r="G107" s="5" t="s">
        <v>191</v>
      </c>
      <c r="H107" s="8" t="n">
        <v>2000</v>
      </c>
      <c r="I107" s="8" t="n">
        <v>2000</v>
      </c>
      <c r="J107" s="9"/>
      <c r="L107" s="12" t="n">
        <v>4</v>
      </c>
      <c r="N107" s="1" t="n">
        <f aca="false">IFERROR(I107/L107,"-")</f>
        <v>500</v>
      </c>
    </row>
    <row r="108" customFormat="false" ht="13.8" hidden="false" customHeight="false" outlineLevel="0" collapsed="false">
      <c r="A108" s="5" t="s">
        <v>192</v>
      </c>
      <c r="B108" s="6" t="n">
        <v>45778</v>
      </c>
      <c r="C108" s="11" t="n">
        <v>45670</v>
      </c>
      <c r="D108" s="11" t="n">
        <v>45777</v>
      </c>
      <c r="E108" s="2" t="str">
        <f aca="false">_xlfn.CONCAT(A108,D108,LEFT(G108,10))</f>
        <v>COAL CEREALISTA ORLANDO45777COAL CEREA</v>
      </c>
      <c r="F108" s="2" t="e">
        <f aca="false">VLOOKUP(E108,#REF!,1,0)</f>
        <v>#VALUE!</v>
      </c>
      <c r="G108" s="5" t="s">
        <v>192</v>
      </c>
      <c r="H108" s="8" t="n">
        <v>2500</v>
      </c>
      <c r="I108" s="8" t="n">
        <v>2500</v>
      </c>
      <c r="J108" s="9"/>
      <c r="L108" s="12" t="n">
        <v>22</v>
      </c>
      <c r="N108" s="1" t="n">
        <f aca="false">IFERROR(I108/L108,"-")</f>
        <v>113.636363636364</v>
      </c>
    </row>
    <row r="109" customFormat="false" ht="13.8" hidden="false" customHeight="false" outlineLevel="0" collapsed="false">
      <c r="A109" s="5" t="s">
        <v>239</v>
      </c>
      <c r="B109" s="6" t="n">
        <v>45778</v>
      </c>
      <c r="C109" s="11" t="n">
        <v>45748</v>
      </c>
      <c r="D109" s="11" t="n">
        <v>45777</v>
      </c>
      <c r="E109" s="2" t="str">
        <f aca="false">_xlfn.CONCAT(A109,D109,LEFT(G109,10))</f>
        <v>COMIDA DE BUTECO PRODUÇÕES GASTRONO45777COMIDA DE </v>
      </c>
      <c r="F109" s="2" t="e">
        <f aca="false">VLOOKUP(E109,#REF!,1,0)</f>
        <v>#VALUE!</v>
      </c>
      <c r="G109" s="5" t="s">
        <v>239</v>
      </c>
      <c r="H109" s="8" t="n">
        <v>35.8</v>
      </c>
      <c r="I109" s="8" t="n">
        <v>28.64</v>
      </c>
      <c r="J109" s="9"/>
      <c r="K109" s="1" t="s">
        <v>152</v>
      </c>
      <c r="L109" s="12" t="n">
        <v>32</v>
      </c>
      <c r="M109" s="1" t="s">
        <v>240</v>
      </c>
      <c r="N109" s="1" t="n">
        <f aca="false">IFERROR(I109/L109,"-")</f>
        <v>0.895</v>
      </c>
    </row>
    <row r="110" customFormat="false" ht="13.8" hidden="false" customHeight="false" outlineLevel="0" collapsed="false">
      <c r="A110" s="5" t="s">
        <v>198</v>
      </c>
      <c r="B110" s="6" t="n">
        <v>45778</v>
      </c>
      <c r="C110" s="11" t="n">
        <v>45673</v>
      </c>
      <c r="D110" s="11" t="n">
        <v>45777</v>
      </c>
      <c r="E110" s="2" t="str">
        <f aca="false">_xlfn.CONCAT(A110,D110,LEFT(G110,10))</f>
        <v>DEPOSITO IRAJA MATERIAIS45777DEPOSITO I</v>
      </c>
      <c r="F110" s="2" t="e">
        <f aca="false">VLOOKUP(E110,#REF!,1,0)</f>
        <v>#VALUE!</v>
      </c>
      <c r="G110" s="5" t="s">
        <v>198</v>
      </c>
      <c r="H110" s="8" t="n">
        <v>2992.5</v>
      </c>
      <c r="I110" s="8" t="n">
        <v>2394</v>
      </c>
      <c r="J110" s="9"/>
      <c r="L110" s="12" t="n">
        <v>22</v>
      </c>
      <c r="M110" s="1" t="s">
        <v>199</v>
      </c>
      <c r="N110" s="1" t="n">
        <f aca="false">IFERROR(I110/L110,"-")</f>
        <v>108.818181818182</v>
      </c>
    </row>
    <row r="111" customFormat="false" ht="13.8" hidden="false" customHeight="false" outlineLevel="0" collapsed="false">
      <c r="A111" s="5" t="s">
        <v>200</v>
      </c>
      <c r="B111" s="6" t="n">
        <v>45778</v>
      </c>
      <c r="C111" s="11" t="n">
        <v>45670</v>
      </c>
      <c r="D111" s="11" t="n">
        <v>45777</v>
      </c>
      <c r="E111" s="2" t="str">
        <f aca="false">_xlfn.CONCAT(A111,D111,LEFT(G111,10))</f>
        <v>DOMINGO DAVID45777DOMINGO DA</v>
      </c>
      <c r="F111" s="2" t="e">
        <f aca="false">VLOOKUP(E111,#REF!,1,0)</f>
        <v>#VALUE!</v>
      </c>
      <c r="G111" s="5" t="s">
        <v>200</v>
      </c>
      <c r="H111" s="8" t="n">
        <v>500</v>
      </c>
      <c r="I111" s="8" t="n">
        <v>500</v>
      </c>
      <c r="J111" s="9"/>
      <c r="L111" s="12" t="n">
        <v>11</v>
      </c>
      <c r="N111" s="1" t="n">
        <f aca="false">IFERROR(I111/L111,"-")</f>
        <v>45.4545454545455</v>
      </c>
    </row>
    <row r="112" customFormat="false" ht="13.8" hidden="false" customHeight="false" outlineLevel="0" collapsed="false">
      <c r="A112" s="5" t="s">
        <v>202</v>
      </c>
      <c r="B112" s="6" t="n">
        <v>45778</v>
      </c>
      <c r="C112" s="11" t="n">
        <v>45741</v>
      </c>
      <c r="D112" s="11" t="n">
        <v>45777</v>
      </c>
      <c r="E112" s="2" t="str">
        <f aca="false">_xlfn.CONCAT(A112,D112,LEFT(G112,10))</f>
        <v>FUNDAÇÃO PIO XII45777FUNDAÇÃO P</v>
      </c>
      <c r="F112" s="2" t="e">
        <f aca="false">VLOOKUP(E112,#REF!,1,0)</f>
        <v>#VALUE!</v>
      </c>
      <c r="G112" s="5" t="s">
        <v>202</v>
      </c>
      <c r="H112" s="8" t="n">
        <v>6000</v>
      </c>
      <c r="I112" s="8" t="n">
        <v>6000</v>
      </c>
      <c r="J112" s="9"/>
      <c r="L112" s="12" t="n">
        <v>55</v>
      </c>
      <c r="N112" s="1" t="n">
        <f aca="false">IFERROR(I112/L112,"-")</f>
        <v>109.090909090909</v>
      </c>
    </row>
    <row r="113" customFormat="false" ht="13.8" hidden="false" customHeight="false" outlineLevel="0" collapsed="false">
      <c r="A113" s="14" t="s">
        <v>202</v>
      </c>
      <c r="B113" s="6" t="n">
        <v>45778</v>
      </c>
      <c r="C113" s="11" t="n">
        <v>45741</v>
      </c>
      <c r="D113" s="11" t="n">
        <v>45777</v>
      </c>
      <c r="E113" s="2" t="str">
        <f aca="false">_xlfn.CONCAT(A113,D113,LEFT(G113,10))</f>
        <v>FUNDAÇÃO PIO XII45777FUNDAÇÃO P</v>
      </c>
      <c r="F113" s="2" t="e">
        <f aca="false">VLOOKUP(E113,#REF!,1,0)</f>
        <v>#VALUE!</v>
      </c>
      <c r="G113" s="14" t="s">
        <v>202</v>
      </c>
      <c r="H113" s="8" t="n">
        <v>6000</v>
      </c>
      <c r="I113" s="8" t="n">
        <v>6000</v>
      </c>
      <c r="J113" s="9"/>
      <c r="L113" s="12" t="n">
        <v>55</v>
      </c>
      <c r="N113" s="1" t="n">
        <f aca="false">IFERROR(I113/L113,"-")</f>
        <v>109.090909090909</v>
      </c>
    </row>
    <row r="114" customFormat="false" ht="13.8" hidden="false" customHeight="false" outlineLevel="0" collapsed="false">
      <c r="A114" s="5" t="s">
        <v>202</v>
      </c>
      <c r="B114" s="6" t="n">
        <v>45778</v>
      </c>
      <c r="C114" s="11" t="n">
        <v>45741</v>
      </c>
      <c r="D114" s="11" t="n">
        <v>45777</v>
      </c>
      <c r="E114" s="2" t="str">
        <f aca="false">_xlfn.CONCAT(A114,D114,LEFT(G114,10))</f>
        <v>FUNDAÇÃO PIO XII45777FUNDAÇÃO P</v>
      </c>
      <c r="F114" s="2" t="e">
        <f aca="false">VLOOKUP(E114,#REF!,1,0)</f>
        <v>#VALUE!</v>
      </c>
      <c r="G114" s="5" t="s">
        <v>202</v>
      </c>
      <c r="H114" s="8" t="n">
        <v>6000</v>
      </c>
      <c r="I114" s="8" t="n">
        <v>6000</v>
      </c>
      <c r="J114" s="9"/>
      <c r="L114" s="12" t="n">
        <v>55</v>
      </c>
      <c r="N114" s="1" t="n">
        <f aca="false">IFERROR(I114/L114,"-")</f>
        <v>109.090909090909</v>
      </c>
    </row>
    <row r="115" customFormat="false" ht="13.8" hidden="false" customHeight="false" outlineLevel="0" collapsed="false">
      <c r="A115" s="5" t="s">
        <v>202</v>
      </c>
      <c r="B115" s="6" t="n">
        <v>45778</v>
      </c>
      <c r="C115" s="11" t="n">
        <v>45741</v>
      </c>
      <c r="D115" s="11" t="n">
        <v>45777</v>
      </c>
      <c r="E115" s="2" t="str">
        <f aca="false">_xlfn.CONCAT(A115,D115,LEFT(G115,10))</f>
        <v>FUNDAÇÃO PIO XII45777FUNDAÇÃO P</v>
      </c>
      <c r="F115" s="2" t="e">
        <f aca="false">VLOOKUP(E115,#REF!,1,0)</f>
        <v>#VALUE!</v>
      </c>
      <c r="G115" s="5" t="s">
        <v>202</v>
      </c>
      <c r="H115" s="8" t="n">
        <v>6000</v>
      </c>
      <c r="I115" s="8" t="n">
        <v>6000</v>
      </c>
      <c r="J115" s="9"/>
      <c r="L115" s="12" t="n">
        <v>55</v>
      </c>
      <c r="N115" s="1" t="n">
        <f aca="false">IFERROR(I115/L115,"-")</f>
        <v>109.090909090909</v>
      </c>
    </row>
    <row r="116" customFormat="false" ht="13.8" hidden="false" customHeight="false" outlineLevel="0" collapsed="false">
      <c r="A116" s="5" t="s">
        <v>241</v>
      </c>
      <c r="B116" s="6" t="n">
        <v>45778</v>
      </c>
      <c r="C116" s="11" t="n">
        <v>45643</v>
      </c>
      <c r="D116" s="11" t="n">
        <v>45777</v>
      </c>
      <c r="E116" s="2" t="str">
        <f aca="false">_xlfn.CONCAT(A116,D116,LEFT(G116,10))</f>
        <v>GS INIMA BRASIL LTDA45777GS INIMA B</v>
      </c>
      <c r="F116" s="2" t="e">
        <f aca="false">VLOOKUP(E116,#REF!,1,0)</f>
        <v>#VALUE!</v>
      </c>
      <c r="G116" s="5" t="s">
        <v>241</v>
      </c>
      <c r="H116" s="8" t="n">
        <v>18645</v>
      </c>
      <c r="I116" s="8" t="n">
        <v>18645</v>
      </c>
      <c r="J116" s="9" t="s">
        <v>182</v>
      </c>
      <c r="L116" s="12" t="n">
        <v>22</v>
      </c>
      <c r="N116" s="1" t="n">
        <f aca="false">IFERROR(I116/L116,"-")</f>
        <v>847.5</v>
      </c>
    </row>
    <row r="117" customFormat="false" ht="13.8" hidden="false" customHeight="false" outlineLevel="0" collapsed="false">
      <c r="A117" s="5" t="s">
        <v>206</v>
      </c>
      <c r="B117" s="6" t="n">
        <v>45778</v>
      </c>
      <c r="C117" s="11" t="n">
        <v>45674</v>
      </c>
      <c r="D117" s="11" t="n">
        <v>45777</v>
      </c>
      <c r="E117" s="2" t="str">
        <f aca="false">_xlfn.CONCAT(A117,D117,LEFT(G117,10))</f>
        <v>HELOISA HELENA PEDROSA45777HELOISA HE</v>
      </c>
      <c r="F117" s="2" t="e">
        <f aca="false">VLOOKUP(E117,#REF!,1,0)</f>
        <v>#VALUE!</v>
      </c>
      <c r="G117" s="5" t="s">
        <v>206</v>
      </c>
      <c r="H117" s="8" t="n">
        <v>1500</v>
      </c>
      <c r="I117" s="8" t="n">
        <v>1500</v>
      </c>
      <c r="J117" s="9"/>
      <c r="L117" s="12" t="n">
        <v>4</v>
      </c>
      <c r="N117" s="1" t="n">
        <f aca="false">IFERROR(I117/L117,"-")</f>
        <v>375</v>
      </c>
    </row>
    <row r="118" customFormat="false" ht="13.8" hidden="false" customHeight="false" outlineLevel="0" collapsed="false">
      <c r="A118" s="5" t="s">
        <v>209</v>
      </c>
      <c r="B118" s="6" t="n">
        <v>45778</v>
      </c>
      <c r="C118" s="11" t="n">
        <v>45698</v>
      </c>
      <c r="D118" s="11" t="n">
        <v>45777</v>
      </c>
      <c r="E118" s="2" t="str">
        <f aca="false">_xlfn.CONCAT(A118,D118,LEFT(G118,10))</f>
        <v>INDUSTRIA E COMERCIO DE DOCES45777INDUSTRIA </v>
      </c>
      <c r="F118" s="2" t="e">
        <f aca="false">VLOOKUP(E118,#REF!,1,0)</f>
        <v>#VALUE!</v>
      </c>
      <c r="G118" s="5" t="s">
        <v>209</v>
      </c>
      <c r="H118" s="8" t="n">
        <v>1300</v>
      </c>
      <c r="I118" s="8" t="n">
        <v>1300</v>
      </c>
      <c r="J118" s="9"/>
      <c r="L118" s="12" t="n">
        <v>22</v>
      </c>
      <c r="N118" s="1" t="n">
        <f aca="false">IFERROR(I118/L118,"-")</f>
        <v>59.0909090909091</v>
      </c>
    </row>
    <row r="119" customFormat="false" ht="13.8" hidden="false" customHeight="false" outlineLevel="0" collapsed="false">
      <c r="A119" s="5" t="s">
        <v>216</v>
      </c>
      <c r="B119" s="6" t="n">
        <v>45778</v>
      </c>
      <c r="C119" s="11" t="n">
        <v>45747</v>
      </c>
      <c r="D119" s="11" t="n">
        <v>45777</v>
      </c>
      <c r="E119" s="2" t="str">
        <f aca="false">_xlfn.CONCAT(A119,D119,LEFT(G119,10))</f>
        <v>PD8 DISTRIBUIDORA DE ALIMENTOS LTDA45777PD8 DISTRI</v>
      </c>
      <c r="F119" s="2" t="e">
        <f aca="false">VLOOKUP(E119,#REF!,1,0)</f>
        <v>#VALUE!</v>
      </c>
      <c r="G119" s="5" t="s">
        <v>216</v>
      </c>
      <c r="H119" s="8" t="n">
        <v>1000</v>
      </c>
      <c r="I119" s="8" t="n">
        <v>1000</v>
      </c>
      <c r="J119" s="9"/>
      <c r="K119" s="1" t="s">
        <v>217</v>
      </c>
      <c r="L119" s="12" t="n">
        <v>4</v>
      </c>
      <c r="N119" s="1" t="n">
        <f aca="false">IFERROR(I119/L119,"-")</f>
        <v>250</v>
      </c>
    </row>
    <row r="120" customFormat="false" ht="13.8" hidden="false" customHeight="false" outlineLevel="0" collapsed="false">
      <c r="A120" s="5" t="s">
        <v>219</v>
      </c>
      <c r="B120" s="6" t="n">
        <v>45778</v>
      </c>
      <c r="C120" s="11" t="n">
        <v>45670</v>
      </c>
      <c r="D120" s="11" t="n">
        <v>45777</v>
      </c>
      <c r="E120" s="2" t="str">
        <f aca="false">_xlfn.CONCAT(A120,D120,LEFT(G120,10))</f>
        <v>REGIONAL COMERCIO DE MATERIAIS45777REGIONAL C</v>
      </c>
      <c r="F120" s="2" t="e">
        <f aca="false">VLOOKUP(E120,#REF!,1,0)</f>
        <v>#VALUE!</v>
      </c>
      <c r="G120" s="5" t="s">
        <v>219</v>
      </c>
      <c r="H120" s="8" t="n">
        <v>1200</v>
      </c>
      <c r="I120" s="8" t="n">
        <v>1200</v>
      </c>
      <c r="J120" s="9"/>
      <c r="L120" s="12" t="n">
        <v>22</v>
      </c>
      <c r="N120" s="1" t="n">
        <f aca="false">IFERROR(I120/L120,"-")</f>
        <v>54.5454545454546</v>
      </c>
    </row>
    <row r="121" customFormat="false" ht="13.8" hidden="false" customHeight="false" outlineLevel="0" collapsed="false">
      <c r="A121" s="5" t="s">
        <v>220</v>
      </c>
      <c r="B121" s="6" t="n">
        <v>45778</v>
      </c>
      <c r="C121" s="11" t="n">
        <v>45792</v>
      </c>
      <c r="D121" s="11" t="n">
        <v>45777</v>
      </c>
      <c r="E121" s="2" t="str">
        <f aca="false">_xlfn.CONCAT(A121,D121,LEFT(G121,10))</f>
        <v>RIBERPRESS COMERCIO GRAFICO EDITORA45777RIBERPRESS</v>
      </c>
      <c r="F121" s="2" t="e">
        <f aca="false">VLOOKUP(E121,#REF!,1,0)</f>
        <v>#VALUE!</v>
      </c>
      <c r="G121" s="5" t="s">
        <v>220</v>
      </c>
      <c r="H121" s="8" t="n">
        <v>3292.85</v>
      </c>
      <c r="I121" s="8" t="n">
        <v>3292.85</v>
      </c>
      <c r="J121" s="9" t="s">
        <v>221</v>
      </c>
      <c r="K121" s="1" t="s">
        <v>222</v>
      </c>
      <c r="L121" s="12" t="n">
        <v>110</v>
      </c>
      <c r="N121" s="1" t="n">
        <f aca="false">IFERROR(I121/L121,"-")</f>
        <v>29.935</v>
      </c>
    </row>
    <row r="122" customFormat="false" ht="13.8" hidden="false" customHeight="false" outlineLevel="0" collapsed="false">
      <c r="A122" s="5" t="s">
        <v>242</v>
      </c>
      <c r="B122" s="6" t="n">
        <v>45778</v>
      </c>
      <c r="C122" s="11" t="n">
        <v>45742</v>
      </c>
      <c r="D122" s="11" t="n">
        <v>45777</v>
      </c>
      <c r="E122" s="2" t="str">
        <f aca="false">_xlfn.CONCAT(A122,D122,LEFT(G122,10))</f>
        <v>RISE GRACE PRODUÇÕES ARTÍSTICAS LTDA45777RISE GRACE</v>
      </c>
      <c r="F122" s="2" t="e">
        <f aca="false">VLOOKUP(E122,#REF!,1,0)</f>
        <v>#VALUE!</v>
      </c>
      <c r="G122" s="5" t="s">
        <v>242</v>
      </c>
      <c r="H122" s="8" t="n">
        <v>5000</v>
      </c>
      <c r="I122" s="8" t="n">
        <v>5000</v>
      </c>
      <c r="J122" s="9"/>
      <c r="L122" s="12" t="n">
        <v>4</v>
      </c>
      <c r="N122" s="1" t="n">
        <f aca="false">IFERROR(I122/L122,"-")</f>
        <v>1250</v>
      </c>
    </row>
    <row r="123" customFormat="false" ht="13.8" hidden="false" customHeight="false" outlineLevel="0" collapsed="false">
      <c r="A123" s="5" t="s">
        <v>223</v>
      </c>
      <c r="B123" s="6" t="n">
        <v>45778</v>
      </c>
      <c r="C123" s="11" t="n">
        <v>45600</v>
      </c>
      <c r="D123" s="11" t="n">
        <v>45777</v>
      </c>
      <c r="E123" s="2" t="str">
        <f aca="false">_xlfn.CONCAT(A123,D123,LEFT(G123,10))</f>
        <v>SAVEGNAGO SUPEMERCADO45777SAVEGNAGO </v>
      </c>
      <c r="F123" s="2" t="e">
        <f aca="false">VLOOKUP(E123,#REF!,1,0)</f>
        <v>#VALUE!</v>
      </c>
      <c r="G123" s="5" t="s">
        <v>223</v>
      </c>
      <c r="H123" s="8" t="n">
        <v>1875</v>
      </c>
      <c r="I123" s="8" t="n">
        <v>1500</v>
      </c>
      <c r="J123" s="9"/>
      <c r="L123" s="12" t="n">
        <v>22</v>
      </c>
      <c r="M123" s="1" t="s">
        <v>224</v>
      </c>
      <c r="N123" s="1" t="n">
        <f aca="false">IFERROR(I123/L123,"-")</f>
        <v>68.1818181818182</v>
      </c>
    </row>
    <row r="124" customFormat="false" ht="13.8" hidden="false" customHeight="false" outlineLevel="0" collapsed="false">
      <c r="A124" s="5" t="s">
        <v>223</v>
      </c>
      <c r="B124" s="6" t="n">
        <v>45778</v>
      </c>
      <c r="C124" s="11" t="n">
        <v>45749</v>
      </c>
      <c r="D124" s="11" t="n">
        <v>45777</v>
      </c>
      <c r="E124" s="2" t="str">
        <f aca="false">_xlfn.CONCAT(A124,D124,LEFT(G124,10))</f>
        <v>SAVEGNAGO SUPEMERCADO45777SAVEGNAGO </v>
      </c>
      <c r="F124" s="2" t="e">
        <f aca="false">VLOOKUP(E124,#REF!,1,0)</f>
        <v>#VALUE!</v>
      </c>
      <c r="G124" s="5" t="s">
        <v>223</v>
      </c>
      <c r="H124" s="8" t="n">
        <v>7333</v>
      </c>
      <c r="I124" s="8" t="n">
        <v>5866.4</v>
      </c>
      <c r="J124" s="9"/>
      <c r="L124" s="12" t="n">
        <v>156</v>
      </c>
      <c r="M124" s="1" t="s">
        <v>224</v>
      </c>
      <c r="N124" s="1" t="n">
        <f aca="false">IFERROR(I124/L124,"-")</f>
        <v>37.6051282051282</v>
      </c>
    </row>
    <row r="125" customFormat="false" ht="13.8" hidden="false" customHeight="false" outlineLevel="0" collapsed="false">
      <c r="A125" s="5" t="s">
        <v>223</v>
      </c>
      <c r="B125" s="6" t="n">
        <v>45778</v>
      </c>
      <c r="C125" s="11" t="n">
        <v>45749</v>
      </c>
      <c r="D125" s="11" t="n">
        <v>45777</v>
      </c>
      <c r="E125" s="2" t="str">
        <f aca="false">_xlfn.CONCAT(A125,D125,LEFT(G125,10))</f>
        <v>SAVEGNAGO SUPEMERCADO45777SAVEGNAGO </v>
      </c>
      <c r="F125" s="2" t="e">
        <f aca="false">VLOOKUP(E125,#REF!,1,0)</f>
        <v>#VALUE!</v>
      </c>
      <c r="G125" s="5" t="s">
        <v>223</v>
      </c>
      <c r="H125" s="8" t="n">
        <v>3094</v>
      </c>
      <c r="I125" s="8" t="n">
        <v>2475.2</v>
      </c>
      <c r="J125" s="9"/>
      <c r="L125" s="12" t="n">
        <v>22</v>
      </c>
      <c r="M125" s="1" t="s">
        <v>224</v>
      </c>
      <c r="N125" s="1" t="n">
        <f aca="false">IFERROR(I125/L125,"-")</f>
        <v>112.509090909091</v>
      </c>
    </row>
    <row r="126" customFormat="false" ht="13.8" hidden="false" customHeight="false" outlineLevel="0" collapsed="false">
      <c r="A126" s="5" t="s">
        <v>223</v>
      </c>
      <c r="B126" s="6" t="n">
        <v>45778</v>
      </c>
      <c r="C126" s="11" t="n">
        <v>45749</v>
      </c>
      <c r="D126" s="11" t="n">
        <v>45777</v>
      </c>
      <c r="E126" s="2" t="str">
        <f aca="false">_xlfn.CONCAT(A126,D126,LEFT(G126,10))</f>
        <v>SAVEGNAGO SUPEMERCADO45777SAVEGNAGO </v>
      </c>
      <c r="F126" s="2" t="e">
        <f aca="false">VLOOKUP(E126,#REF!,1,0)</f>
        <v>#VALUE!</v>
      </c>
      <c r="G126" s="5" t="s">
        <v>223</v>
      </c>
      <c r="H126" s="8" t="n">
        <v>3094</v>
      </c>
      <c r="I126" s="8" t="n">
        <v>2475.2</v>
      </c>
      <c r="J126" s="9"/>
      <c r="L126" s="12" t="n">
        <v>22</v>
      </c>
      <c r="M126" s="1" t="s">
        <v>224</v>
      </c>
      <c r="N126" s="1" t="n">
        <f aca="false">IFERROR(I126/L126,"-")</f>
        <v>112.509090909091</v>
      </c>
    </row>
    <row r="127" customFormat="false" ht="13.8" hidden="false" customHeight="false" outlineLevel="0" collapsed="false">
      <c r="A127" s="5" t="s">
        <v>243</v>
      </c>
      <c r="B127" s="6" t="n">
        <v>45778</v>
      </c>
      <c r="C127" s="11" t="n">
        <v>45680</v>
      </c>
      <c r="D127" s="11" t="n">
        <v>45777</v>
      </c>
      <c r="E127" s="2" t="str">
        <f aca="false">_xlfn.CONCAT(A127,D127,LEFT(G127,10))</f>
        <v>SINDICATO DOS EMPREGADOS NO COMÉRCIO45777SINDICATO </v>
      </c>
      <c r="F127" s="2" t="e">
        <f aca="false">VLOOKUP(E127,#REF!,1,0)</f>
        <v>#VALUE!</v>
      </c>
      <c r="G127" s="5" t="s">
        <v>243</v>
      </c>
      <c r="H127" s="8" t="n">
        <v>1500</v>
      </c>
      <c r="I127" s="8" t="n">
        <v>1500</v>
      </c>
      <c r="J127" s="9"/>
      <c r="L127" s="12" t="n">
        <v>22</v>
      </c>
      <c r="N127" s="1" t="n">
        <f aca="false">IFERROR(I127/L127,"-")</f>
        <v>68.1818181818182</v>
      </c>
    </row>
    <row r="128" customFormat="false" ht="13.8" hidden="false" customHeight="false" outlineLevel="0" collapsed="false">
      <c r="A128" s="5" t="s">
        <v>232</v>
      </c>
      <c r="B128" s="6" t="n">
        <v>45778</v>
      </c>
      <c r="C128" s="11" t="n">
        <v>45741</v>
      </c>
      <c r="D128" s="11" t="n">
        <v>45777</v>
      </c>
      <c r="E128" s="2" t="str">
        <f aca="false">_xlfn.CONCAT(A128,D128,LEFT(G128,10))</f>
        <v>SOLUÇÕES TECNOCURSOS LTDA45777SOLUÇÕES T</v>
      </c>
      <c r="F128" s="2" t="e">
        <f aca="false">VLOOKUP(E128,#REF!,1,0)</f>
        <v>#VALUE!</v>
      </c>
      <c r="G128" s="5" t="s">
        <v>232</v>
      </c>
      <c r="H128" s="8" t="n">
        <v>2500</v>
      </c>
      <c r="I128" s="8" t="n">
        <v>2500</v>
      </c>
      <c r="J128" s="9" t="s">
        <v>244</v>
      </c>
      <c r="L128" s="12" t="n">
        <v>4</v>
      </c>
      <c r="N128" s="1" t="n">
        <f aca="false">IFERROR(I128/L128,"-")</f>
        <v>625</v>
      </c>
    </row>
    <row r="129" customFormat="false" ht="13.8" hidden="false" customHeight="false" outlineLevel="0" collapsed="false">
      <c r="A129" s="5" t="s">
        <v>233</v>
      </c>
      <c r="B129" s="6" t="n">
        <v>45778</v>
      </c>
      <c r="C129" s="11" t="n">
        <v>45629</v>
      </c>
      <c r="D129" s="11" t="n">
        <v>45777</v>
      </c>
      <c r="E129" s="2" t="str">
        <f aca="false">_xlfn.CONCAT(A129,D129,LEFT(G129,10))</f>
        <v>SUPERMERCADO BIG COMPRA LTDA45777SUPERMERCA</v>
      </c>
      <c r="F129" s="2" t="e">
        <f aca="false">VLOOKUP(E129,#REF!,1,0)</f>
        <v>#VALUE!</v>
      </c>
      <c r="G129" s="5" t="s">
        <v>233</v>
      </c>
      <c r="H129" s="8" t="n">
        <v>1200</v>
      </c>
      <c r="I129" s="8" t="n">
        <v>1200</v>
      </c>
      <c r="J129" s="9"/>
      <c r="L129" s="12" t="n">
        <v>22</v>
      </c>
      <c r="N129" s="1" t="n">
        <f aca="false">IFERROR(I129/L129,"-")</f>
        <v>54.5454545454546</v>
      </c>
    </row>
    <row r="130" customFormat="false" ht="13.8" hidden="false" customHeight="false" outlineLevel="0" collapsed="false">
      <c r="A130" s="10" t="s">
        <v>335</v>
      </c>
      <c r="B130" s="6" t="n">
        <v>45748</v>
      </c>
      <c r="C130" s="7" t="n">
        <v>45758</v>
      </c>
      <c r="D130" s="7" t="n">
        <v>45779</v>
      </c>
      <c r="E130" s="2" t="str">
        <f aca="false">_xlfn.CONCAT(A130,D130,LEFT(G130,10))</f>
        <v>TH+45779METROPOLIT</v>
      </c>
      <c r="F130" s="2" t="e">
        <f aca="false">VLOOKUP(E130,#REF!,1,0)</f>
        <v>#VALUE!</v>
      </c>
      <c r="G130" s="5" t="s">
        <v>246</v>
      </c>
      <c r="H130" s="8" t="n">
        <v>12000</v>
      </c>
      <c r="I130" s="8" t="n">
        <v>12000</v>
      </c>
      <c r="J130" s="9"/>
      <c r="K130" s="9"/>
      <c r="M130" s="9"/>
      <c r="N130" s="1" t="str">
        <f aca="false">IFERROR(I130/L130,"-")</f>
        <v>-</v>
      </c>
    </row>
    <row r="131" customFormat="false" ht="13.8" hidden="false" customHeight="false" outlineLevel="0" collapsed="false">
      <c r="A131" s="5" t="s">
        <v>179</v>
      </c>
      <c r="B131" s="6" t="n">
        <v>45778</v>
      </c>
      <c r="C131" s="11" t="n">
        <v>45776</v>
      </c>
      <c r="D131" s="11" t="n">
        <v>45779</v>
      </c>
      <c r="E131" s="2" t="str">
        <f aca="false">_xlfn.CONCAT(A131,D131,LEFT(G131,10))</f>
        <v>BANCO DO BRASIL S/A45779BANCO DO B</v>
      </c>
      <c r="F131" s="2" t="e">
        <f aca="false">VLOOKUP(E131,#REF!,1,0)</f>
        <v>#VALUE!</v>
      </c>
      <c r="G131" s="5" t="s">
        <v>179</v>
      </c>
      <c r="H131" s="8" t="n">
        <v>1267.19</v>
      </c>
      <c r="I131" s="8" t="n">
        <v>1013.752</v>
      </c>
      <c r="J131" s="9" t="s">
        <v>134</v>
      </c>
      <c r="K131" s="1" t="s">
        <v>127</v>
      </c>
      <c r="L131" s="12" t="n">
        <v>12</v>
      </c>
      <c r="M131" s="1" t="s">
        <v>180</v>
      </c>
      <c r="N131" s="1" t="n">
        <f aca="false">IFERROR(I131/L131,"-")</f>
        <v>84.4793333333333</v>
      </c>
    </row>
    <row r="132" customFormat="false" ht="13.8" hidden="false" customHeight="false" outlineLevel="0" collapsed="false">
      <c r="A132" s="5" t="s">
        <v>179</v>
      </c>
      <c r="B132" s="6" t="n">
        <v>45778</v>
      </c>
      <c r="C132" s="11" t="n">
        <v>45776</v>
      </c>
      <c r="D132" s="11" t="n">
        <v>45779</v>
      </c>
      <c r="E132" s="2" t="str">
        <f aca="false">_xlfn.CONCAT(A132,D132,LEFT(G132,10))</f>
        <v>BANCO DO BRASIL S/A45779BANCO DO B</v>
      </c>
      <c r="F132" s="2" t="e">
        <f aca="false">VLOOKUP(E132,#REF!,1,0)</f>
        <v>#VALUE!</v>
      </c>
      <c r="G132" s="5" t="s">
        <v>179</v>
      </c>
      <c r="H132" s="8" t="n">
        <v>570.77</v>
      </c>
      <c r="I132" s="8" t="n">
        <v>456.616</v>
      </c>
      <c r="J132" s="9" t="s">
        <v>131</v>
      </c>
      <c r="K132" s="1" t="s">
        <v>132</v>
      </c>
      <c r="L132" s="12" t="n">
        <v>12</v>
      </c>
      <c r="M132" s="1" t="s">
        <v>180</v>
      </c>
      <c r="N132" s="1" t="n">
        <f aca="false">IFERROR(I132/L132,"-")</f>
        <v>38.0513333333333</v>
      </c>
    </row>
    <row r="133" customFormat="false" ht="13.8" hidden="false" customHeight="false" outlineLevel="0" collapsed="false">
      <c r="A133" s="5" t="s">
        <v>179</v>
      </c>
      <c r="B133" s="6" t="n">
        <v>45778</v>
      </c>
      <c r="C133" s="11" t="n">
        <v>45776</v>
      </c>
      <c r="D133" s="11" t="n">
        <v>45779</v>
      </c>
      <c r="E133" s="2" t="str">
        <f aca="false">_xlfn.CONCAT(A133,D133,LEFT(G133,10))</f>
        <v>BANCO DO BRASIL S/A45779BANCO DO B</v>
      </c>
      <c r="F133" s="2" t="e">
        <f aca="false">VLOOKUP(E133,#REF!,1,0)</f>
        <v>#VALUE!</v>
      </c>
      <c r="G133" s="5" t="s">
        <v>179</v>
      </c>
      <c r="H133" s="8" t="n">
        <v>1260</v>
      </c>
      <c r="I133" s="8" t="n">
        <v>1008</v>
      </c>
      <c r="J133" s="9" t="s">
        <v>148</v>
      </c>
      <c r="K133" s="1" t="s">
        <v>152</v>
      </c>
      <c r="L133" s="12" t="n">
        <v>12</v>
      </c>
      <c r="M133" s="1" t="s">
        <v>180</v>
      </c>
      <c r="N133" s="1" t="n">
        <f aca="false">IFERROR(I133/L133,"-")</f>
        <v>84</v>
      </c>
    </row>
    <row r="134" customFormat="false" ht="13.8" hidden="false" customHeight="false" outlineLevel="0" collapsed="false">
      <c r="A134" s="5" t="s">
        <v>225</v>
      </c>
      <c r="B134" s="6" t="n">
        <v>45778</v>
      </c>
      <c r="C134" s="11" t="n">
        <v>45771</v>
      </c>
      <c r="D134" s="11" t="n">
        <v>45779</v>
      </c>
      <c r="E134" s="2" t="str">
        <f aca="false">_xlfn.CONCAT(A134,D134,LEFT(G134,10))</f>
        <v>SECRETARIA DE COMUNICAÇÃO45779SECRETARIA</v>
      </c>
      <c r="F134" s="2" t="e">
        <f aca="false">VLOOKUP(E134,#REF!,1,0)</f>
        <v>#VALUE!</v>
      </c>
      <c r="G134" s="5" t="s">
        <v>225</v>
      </c>
      <c r="H134" s="8" t="n">
        <v>962.5</v>
      </c>
      <c r="I134" s="8" t="n">
        <v>770</v>
      </c>
      <c r="J134" s="9" t="s">
        <v>226</v>
      </c>
      <c r="K134" s="1" t="s">
        <v>152</v>
      </c>
      <c r="L134" s="12" t="n">
        <v>24</v>
      </c>
      <c r="M134" s="1" t="s">
        <v>227</v>
      </c>
      <c r="N134" s="1" t="n">
        <f aca="false">IFERROR(I134/L134,"-")</f>
        <v>32.0833333333333</v>
      </c>
    </row>
    <row r="135" customFormat="false" ht="13.8" hidden="false" customHeight="false" outlineLevel="0" collapsed="false">
      <c r="A135" s="5" t="s">
        <v>156</v>
      </c>
      <c r="B135" s="6" t="n">
        <v>45778</v>
      </c>
      <c r="C135" s="11" t="n">
        <v>45772</v>
      </c>
      <c r="D135" s="11" t="n">
        <v>45779</v>
      </c>
      <c r="E135" s="2" t="str">
        <f aca="false">_xlfn.CONCAT(A135,D135,LEFT(G135,10))</f>
        <v>SPE URBEN ASCEN DESENVOLVIMENTO45779SPE URBEN </v>
      </c>
      <c r="F135" s="2" t="e">
        <f aca="false">VLOOKUP(E135,#REF!,1,0)</f>
        <v>#VALUE!</v>
      </c>
      <c r="G135" s="5" t="s">
        <v>156</v>
      </c>
      <c r="H135" s="8" t="n">
        <v>500</v>
      </c>
      <c r="I135" s="8" t="n">
        <v>400</v>
      </c>
      <c r="J135" s="9"/>
      <c r="K135" s="1" t="s">
        <v>139</v>
      </c>
      <c r="L135" s="12" t="n">
        <v>10</v>
      </c>
      <c r="M135" s="1" t="s">
        <v>157</v>
      </c>
      <c r="N135" s="1" t="n">
        <f aca="false">IFERROR(I135/L135,"-")</f>
        <v>40</v>
      </c>
    </row>
    <row r="136" customFormat="false" ht="13.8" hidden="false" customHeight="false" outlineLevel="0" collapsed="false">
      <c r="A136" s="10" t="s">
        <v>334</v>
      </c>
      <c r="B136" s="6" t="n">
        <v>45748</v>
      </c>
      <c r="C136" s="7" t="n">
        <v>45748</v>
      </c>
      <c r="D136" s="7" t="n">
        <v>45781</v>
      </c>
      <c r="E136" s="2" t="str">
        <f aca="false">_xlfn.CONCAT(A136,D136,LEFT(G136,10))</f>
        <v>NOVA BRASIL45781COMIDA DE </v>
      </c>
      <c r="F136" s="2" t="e">
        <f aca="false">VLOOKUP(E136,#REF!,1,0)</f>
        <v>#VALUE!</v>
      </c>
      <c r="G136" s="5" t="s">
        <v>239</v>
      </c>
      <c r="H136" s="8" t="n">
        <v>283.78</v>
      </c>
      <c r="I136" s="8" t="n">
        <v>227.024</v>
      </c>
      <c r="J136" s="9"/>
      <c r="K136" s="9" t="s">
        <v>152</v>
      </c>
      <c r="M136" s="9" t="s">
        <v>240</v>
      </c>
      <c r="N136" s="1" t="str">
        <f aca="false">IFERROR(I136/L136,"-")</f>
        <v>-</v>
      </c>
    </row>
    <row r="137" customFormat="false" ht="13.8" hidden="false" customHeight="false" outlineLevel="0" collapsed="false">
      <c r="A137" s="5" t="s">
        <v>170</v>
      </c>
      <c r="B137" s="6" t="n">
        <v>45778</v>
      </c>
      <c r="C137" s="11" t="n">
        <v>45764</v>
      </c>
      <c r="D137" s="11" t="n">
        <v>45781</v>
      </c>
      <c r="E137" s="2" t="str">
        <f aca="false">_xlfn.CONCAT(A137,D137,LEFT(G137,10))</f>
        <v>ASSOC DOS LOJISTAS SHOPPING CENTER45781ASSOC DOS </v>
      </c>
      <c r="F137" s="2" t="e">
        <f aca="false">VLOOKUP(E137,#REF!,1,0)</f>
        <v>#VALUE!</v>
      </c>
      <c r="G137" s="5" t="s">
        <v>170</v>
      </c>
      <c r="H137" s="8" t="n">
        <v>1700</v>
      </c>
      <c r="I137" s="8" t="n">
        <v>1360</v>
      </c>
      <c r="J137" s="9"/>
      <c r="K137" s="1" t="s">
        <v>171</v>
      </c>
      <c r="L137" s="12" t="n">
        <v>20</v>
      </c>
      <c r="M137" s="1" t="s">
        <v>172</v>
      </c>
      <c r="N137" s="1" t="n">
        <f aca="false">IFERROR(I137/L137,"-")</f>
        <v>68</v>
      </c>
    </row>
    <row r="138" customFormat="false" ht="13.8" hidden="false" customHeight="false" outlineLevel="0" collapsed="false">
      <c r="A138" s="5" t="s">
        <v>170</v>
      </c>
      <c r="B138" s="6" t="n">
        <v>45778</v>
      </c>
      <c r="C138" s="11" t="n">
        <v>45764</v>
      </c>
      <c r="D138" s="11" t="n">
        <v>45781</v>
      </c>
      <c r="E138" s="2" t="str">
        <f aca="false">_xlfn.CONCAT(A138,D138,LEFT(G138,10))</f>
        <v>ASSOC DOS LOJISTAS SHOPPING CENTER45781ASSOC DOS </v>
      </c>
      <c r="F138" s="2" t="e">
        <f aca="false">VLOOKUP(E138,#REF!,1,0)</f>
        <v>#VALUE!</v>
      </c>
      <c r="G138" s="5" t="s">
        <v>170</v>
      </c>
      <c r="H138" s="8" t="n">
        <v>2100</v>
      </c>
      <c r="I138" s="8" t="n">
        <v>1680</v>
      </c>
      <c r="J138" s="9"/>
      <c r="K138" s="1" t="s">
        <v>139</v>
      </c>
      <c r="L138" s="12" t="n">
        <v>20</v>
      </c>
      <c r="M138" s="1" t="s">
        <v>172</v>
      </c>
      <c r="N138" s="1" t="n">
        <f aca="false">IFERROR(I138/L138,"-")</f>
        <v>84</v>
      </c>
    </row>
    <row r="139" customFormat="false" ht="13.8" hidden="false" customHeight="false" outlineLevel="0" collapsed="false">
      <c r="A139" s="10" t="s">
        <v>12</v>
      </c>
      <c r="B139" s="6" t="n">
        <v>45748</v>
      </c>
      <c r="C139" s="7" t="n">
        <v>45743</v>
      </c>
      <c r="D139" s="7" t="n">
        <v>45785</v>
      </c>
      <c r="E139" s="2" t="str">
        <f aca="false">_xlfn.CONCAT(A139,D139,LEFT(G139,10))</f>
        <v>DIFUSORA45785ATIVA LOCA</v>
      </c>
      <c r="F139" s="2" t="e">
        <f aca="false">VLOOKUP(E139,#REF!,1,0)</f>
        <v>#VALUE!</v>
      </c>
      <c r="G139" s="5" t="s">
        <v>247</v>
      </c>
      <c r="H139" s="8" t="n">
        <v>6160</v>
      </c>
      <c r="I139" s="8" t="n">
        <v>6160</v>
      </c>
      <c r="J139" s="9"/>
      <c r="K139" s="9"/>
      <c r="M139" s="9"/>
      <c r="N139" s="1" t="str">
        <f aca="false">IFERROR(I139/L139,"-")</f>
        <v>-</v>
      </c>
    </row>
    <row r="140" customFormat="false" ht="13.8" hidden="false" customHeight="false" outlineLevel="0" collapsed="false">
      <c r="A140" s="10" t="s">
        <v>12</v>
      </c>
      <c r="B140" s="6" t="n">
        <v>45748</v>
      </c>
      <c r="C140" s="7" t="n">
        <v>45772</v>
      </c>
      <c r="D140" s="7" t="n">
        <v>45786</v>
      </c>
      <c r="E140" s="2" t="str">
        <f aca="false">_xlfn.CONCAT(A140,D140,LEFT(G140,10))</f>
        <v>DIFUSORA45786ASSOCIAÇÃO</v>
      </c>
      <c r="F140" s="2" t="e">
        <f aca="false">VLOOKUP(E140,#REF!,1,0)</f>
        <v>#VALUE!</v>
      </c>
      <c r="G140" s="5" t="s">
        <v>248</v>
      </c>
      <c r="H140" s="8" t="n">
        <v>1575</v>
      </c>
      <c r="I140" s="8" t="n">
        <v>1575</v>
      </c>
      <c r="J140" s="9"/>
      <c r="K140" s="9" t="s">
        <v>171</v>
      </c>
      <c r="M140" s="9"/>
      <c r="N140" s="1" t="str">
        <f aca="false">IFERROR(I140/L140,"-")</f>
        <v>-</v>
      </c>
    </row>
    <row r="141" customFormat="false" ht="13.8" hidden="false" customHeight="false" outlineLevel="0" collapsed="false">
      <c r="A141" s="5" t="s">
        <v>250</v>
      </c>
      <c r="B141" s="6" t="n">
        <v>45778</v>
      </c>
      <c r="C141" s="11" t="n">
        <v>45782</v>
      </c>
      <c r="D141" s="11" t="n">
        <v>45792</v>
      </c>
      <c r="E141" s="2" t="str">
        <f aca="false">_xlfn.CONCAT(A141,D141,LEFT(G141,10))</f>
        <v>ASSOCIAÇÃO MINAZ DE CULTURA45792ASSOCIAÇÃO</v>
      </c>
      <c r="F141" s="2" t="e">
        <f aca="false">VLOOKUP(E141,#REF!,1,0)</f>
        <v>#VALUE!</v>
      </c>
      <c r="G141" s="5" t="s">
        <v>250</v>
      </c>
      <c r="H141" s="8" t="n">
        <v>3675</v>
      </c>
      <c r="I141" s="8" t="n">
        <v>3675</v>
      </c>
      <c r="J141" s="9"/>
      <c r="K141" s="1" t="s">
        <v>222</v>
      </c>
      <c r="L141" s="12" t="n">
        <v>75</v>
      </c>
      <c r="N141" s="1" t="n">
        <f aca="false">IFERROR(I141/L141,"-")</f>
        <v>49</v>
      </c>
    </row>
    <row r="142" customFormat="false" ht="13.8" hidden="false" customHeight="false" outlineLevel="0" collapsed="false">
      <c r="A142" s="5" t="s">
        <v>253</v>
      </c>
      <c r="B142" s="6" t="n">
        <v>45778</v>
      </c>
      <c r="C142" s="11" t="n">
        <v>45785</v>
      </c>
      <c r="D142" s="11" t="n">
        <v>45794</v>
      </c>
      <c r="E142" s="2" t="str">
        <f aca="false">_xlfn.CONCAT(A142,D142,LEFT(G142,10))</f>
        <v>EVENTS MARKETING PROMOCIONAL E SOLUÇÕES45794EVENTS MAR</v>
      </c>
      <c r="F142" s="2" t="e">
        <f aca="false">VLOOKUP(E142,#REF!,1,0)</f>
        <v>#VALUE!</v>
      </c>
      <c r="G142" s="5" t="s">
        <v>253</v>
      </c>
      <c r="H142" s="8" t="n">
        <v>199.5</v>
      </c>
      <c r="I142" s="8" t="n">
        <v>199.5</v>
      </c>
      <c r="J142" s="9"/>
      <c r="K142" s="1" t="s">
        <v>254</v>
      </c>
      <c r="L142" s="12" t="n">
        <v>18</v>
      </c>
      <c r="N142" s="1" t="n">
        <f aca="false">IFERROR(I142/L142,"-")</f>
        <v>11.0833333333333</v>
      </c>
    </row>
    <row r="143" customFormat="false" ht="13.8" hidden="false" customHeight="false" outlineLevel="0" collapsed="false">
      <c r="A143" s="5" t="s">
        <v>253</v>
      </c>
      <c r="B143" s="6" t="n">
        <v>45778</v>
      </c>
      <c r="C143" s="11" t="n">
        <v>45785</v>
      </c>
      <c r="D143" s="11" t="n">
        <v>45794</v>
      </c>
      <c r="E143" s="2" t="str">
        <f aca="false">_xlfn.CONCAT(A143,D143,LEFT(G143,10))</f>
        <v>EVENTS MARKETING PROMOCIONAL E SOLUÇÕES45794EVENTS MAR</v>
      </c>
      <c r="F143" s="2" t="e">
        <f aca="false">VLOOKUP(E143,#REF!,1,0)</f>
        <v>#VALUE!</v>
      </c>
      <c r="G143" s="5" t="s">
        <v>253</v>
      </c>
      <c r="H143" s="8" t="n">
        <v>838.47</v>
      </c>
      <c r="I143" s="8" t="n">
        <v>838.47</v>
      </c>
      <c r="J143" s="9"/>
      <c r="K143" s="1" t="s">
        <v>255</v>
      </c>
      <c r="L143" s="12" t="n">
        <v>18</v>
      </c>
      <c r="N143" s="1" t="n">
        <f aca="false">IFERROR(I143/L143,"-")</f>
        <v>46.5816666666667</v>
      </c>
    </row>
    <row r="144" customFormat="false" ht="13.8" hidden="false" customHeight="false" outlineLevel="0" collapsed="false">
      <c r="A144" s="5" t="s">
        <v>253</v>
      </c>
      <c r="B144" s="6" t="n">
        <v>45778</v>
      </c>
      <c r="C144" s="11" t="n">
        <v>45785</v>
      </c>
      <c r="D144" s="11" t="n">
        <v>45794</v>
      </c>
      <c r="E144" s="2" t="str">
        <f aca="false">_xlfn.CONCAT(A144,D144,LEFT(G144,10))</f>
        <v>EVENTS MARKETING PROMOCIONAL E SOLUÇÕES45794EVENTS MAR</v>
      </c>
      <c r="F144" s="2" t="e">
        <f aca="false">VLOOKUP(E144,#REF!,1,0)</f>
        <v>#VALUE!</v>
      </c>
      <c r="G144" s="5" t="s">
        <v>253</v>
      </c>
      <c r="H144" s="8" t="n">
        <v>249.59</v>
      </c>
      <c r="I144" s="8" t="n">
        <v>249.59</v>
      </c>
      <c r="J144" s="9"/>
      <c r="K144" s="1" t="s">
        <v>256</v>
      </c>
      <c r="L144" s="12"/>
      <c r="N144" s="1" t="str">
        <f aca="false">IFERROR(I144/L144,"-")</f>
        <v>-</v>
      </c>
    </row>
    <row r="145" customFormat="false" ht="13.8" hidden="false" customHeight="false" outlineLevel="0" collapsed="false">
      <c r="A145" s="5" t="s">
        <v>253</v>
      </c>
      <c r="B145" s="6" t="n">
        <v>45778</v>
      </c>
      <c r="C145" s="11" t="n">
        <v>45785</v>
      </c>
      <c r="D145" s="11" t="n">
        <v>45794</v>
      </c>
      <c r="E145" s="2" t="str">
        <f aca="false">_xlfn.CONCAT(A145,D145,LEFT(G145,10))</f>
        <v>EVENTS MARKETING PROMOCIONAL E SOLUÇÕES45794EVENTS MAR</v>
      </c>
      <c r="F145" s="2" t="e">
        <f aca="false">VLOOKUP(E145,#REF!,1,0)</f>
        <v>#VALUE!</v>
      </c>
      <c r="G145" s="5" t="s">
        <v>253</v>
      </c>
      <c r="H145" s="8" t="n">
        <v>793.12</v>
      </c>
      <c r="I145" s="8" t="n">
        <v>793.12</v>
      </c>
      <c r="J145" s="9"/>
      <c r="K145" s="1" t="s">
        <v>257</v>
      </c>
      <c r="L145" s="12" t="n">
        <v>18</v>
      </c>
      <c r="N145" s="1" t="n">
        <f aca="false">IFERROR(I145/L145,"-")</f>
        <v>44.0622222222222</v>
      </c>
    </row>
    <row r="146" customFormat="false" ht="13.8" hidden="false" customHeight="false" outlineLevel="0" collapsed="false">
      <c r="A146" s="5" t="s">
        <v>258</v>
      </c>
      <c r="B146" s="6" t="n">
        <v>45778</v>
      </c>
      <c r="C146" s="11" t="n">
        <v>45784</v>
      </c>
      <c r="D146" s="11" t="n">
        <v>45796</v>
      </c>
      <c r="E146" s="2" t="str">
        <f aca="false">_xlfn.CONCAT(A146,D146,LEFT(G146,10))</f>
        <v>BANANAS EVENTOS LTDA45796BANANAS EV</v>
      </c>
      <c r="F146" s="2" t="e">
        <f aca="false">VLOOKUP(E146,#REF!,1,0)</f>
        <v>#VALUE!</v>
      </c>
      <c r="G146" s="5" t="s">
        <v>258</v>
      </c>
      <c r="H146" s="8" t="n">
        <v>8488.48</v>
      </c>
      <c r="I146" s="8" t="n">
        <v>8488.48</v>
      </c>
      <c r="J146" s="9" t="s">
        <v>137</v>
      </c>
      <c r="K146" s="1" t="s">
        <v>155</v>
      </c>
      <c r="L146" s="12" t="n">
        <v>195</v>
      </c>
      <c r="N146" s="1" t="n">
        <f aca="false">IFERROR(I146/L146,"-")</f>
        <v>43.5306666666667</v>
      </c>
    </row>
    <row r="147" customFormat="false" ht="13.8" hidden="false" customHeight="false" outlineLevel="0" collapsed="false">
      <c r="A147" s="5" t="s">
        <v>259</v>
      </c>
      <c r="B147" s="6" t="n">
        <v>45778</v>
      </c>
      <c r="C147" s="11" t="n">
        <v>45799</v>
      </c>
      <c r="D147" s="11" t="n">
        <v>45800</v>
      </c>
      <c r="E147" s="2" t="str">
        <f aca="false">_xlfn.CONCAT(A147,D147,LEFT(G147,10))</f>
        <v>ATRI COMERCIAL LTDA45800ATRI COMER</v>
      </c>
      <c r="F147" s="2" t="e">
        <f aca="false">VLOOKUP(E147,#REF!,1,0)</f>
        <v>#VALUE!</v>
      </c>
      <c r="G147" s="5" t="s">
        <v>259</v>
      </c>
      <c r="H147" s="8" t="n">
        <v>1000</v>
      </c>
      <c r="I147" s="8" t="n">
        <v>800</v>
      </c>
      <c r="J147" s="9"/>
      <c r="K147" s="1" t="s">
        <v>171</v>
      </c>
      <c r="L147" s="12" t="n">
        <v>1</v>
      </c>
      <c r="M147" s="1" t="s">
        <v>212</v>
      </c>
      <c r="N147" s="1" t="n">
        <f aca="false">IFERROR(I147/L147,"-")</f>
        <v>800</v>
      </c>
    </row>
    <row r="148" customFormat="false" ht="13.8" hidden="false" customHeight="false" outlineLevel="0" collapsed="false">
      <c r="A148" s="5" t="s">
        <v>261</v>
      </c>
      <c r="B148" s="6" t="n">
        <v>45778</v>
      </c>
      <c r="C148" s="11" t="n">
        <v>45770</v>
      </c>
      <c r="D148" s="11" t="n">
        <v>45801</v>
      </c>
      <c r="E148" s="2" t="str">
        <f aca="false">_xlfn.CONCAT(A148,D148,LEFT(G148,10))</f>
        <v>JADER DESINDE45801JADER DESI</v>
      </c>
      <c r="F148" s="2" t="e">
        <f aca="false">VLOOKUP(E148,#REF!,1,0)</f>
        <v>#VALUE!</v>
      </c>
      <c r="G148" s="5" t="s">
        <v>261</v>
      </c>
      <c r="H148" s="8" t="n">
        <v>2000</v>
      </c>
      <c r="I148" s="8" t="n">
        <v>2000</v>
      </c>
      <c r="J148" s="9"/>
      <c r="K148" s="1" t="s">
        <v>171</v>
      </c>
      <c r="L148" s="12" t="n">
        <v>230</v>
      </c>
      <c r="N148" s="1" t="n">
        <f aca="false">IFERROR(I148/L148,"-")</f>
        <v>8.69565217391304</v>
      </c>
    </row>
    <row r="149" customFormat="false" ht="13.8" hidden="false" customHeight="false" outlineLevel="0" collapsed="false">
      <c r="A149" s="10" t="s">
        <v>335</v>
      </c>
      <c r="B149" s="6" t="n">
        <v>45748</v>
      </c>
      <c r="C149" s="7" t="n">
        <v>45775</v>
      </c>
      <c r="D149" s="7" t="n">
        <v>45804</v>
      </c>
      <c r="E149" s="2" t="str">
        <f aca="false">_xlfn.CONCAT(A149,D149,LEFT(G149,10))</f>
        <v>TH+45804THRIVE FIN</v>
      </c>
      <c r="F149" s="2" t="e">
        <f aca="false">VLOOKUP(E149,#REF!,1,0)</f>
        <v>#VALUE!</v>
      </c>
      <c r="G149" s="5" t="s">
        <v>146</v>
      </c>
      <c r="H149" s="8" t="n">
        <v>2500</v>
      </c>
      <c r="I149" s="8" t="n">
        <v>2500</v>
      </c>
      <c r="J149" s="9"/>
      <c r="K149" s="9"/>
      <c r="M149" s="9"/>
      <c r="N149" s="1" t="str">
        <f aca="false">IFERROR(I149/L149,"-")</f>
        <v>-</v>
      </c>
    </row>
    <row r="150" customFormat="false" ht="13.8" hidden="false" customHeight="false" outlineLevel="0" collapsed="false">
      <c r="A150" s="5" t="s">
        <v>264</v>
      </c>
      <c r="B150" s="6" t="n">
        <v>45778</v>
      </c>
      <c r="C150" s="11" t="n">
        <v>45792</v>
      </c>
      <c r="D150" s="11" t="n">
        <v>45806</v>
      </c>
      <c r="E150" s="2" t="str">
        <f aca="false">_xlfn.CONCAT(A150,D150,LEFT(G150,10))</f>
        <v>ARS PRINT SIGN GIFT LTDA45806ARS PRINT </v>
      </c>
      <c r="F150" s="2" t="e">
        <f aca="false">VLOOKUP(E150,#REF!,1,0)</f>
        <v>#VALUE!</v>
      </c>
      <c r="G150" s="5" t="s">
        <v>264</v>
      </c>
      <c r="H150" s="8" t="n">
        <v>2400</v>
      </c>
      <c r="I150" s="8" t="n">
        <v>2400</v>
      </c>
      <c r="J150" s="9" t="s">
        <v>137</v>
      </c>
      <c r="L150" s="12" t="n">
        <v>48</v>
      </c>
      <c r="N150" s="1" t="n">
        <f aca="false">IFERROR(I150/L150,"-")</f>
        <v>50</v>
      </c>
    </row>
    <row r="151" customFormat="false" ht="13.8" hidden="false" customHeight="false" outlineLevel="0" collapsed="false">
      <c r="A151" s="5" t="s">
        <v>264</v>
      </c>
      <c r="B151" s="6" t="n">
        <v>45778</v>
      </c>
      <c r="C151" s="11" t="n">
        <v>45792</v>
      </c>
      <c r="D151" s="11" t="n">
        <v>45806</v>
      </c>
      <c r="E151" s="2" t="str">
        <f aca="false">_xlfn.CONCAT(A151,D151,LEFT(G151,10))</f>
        <v>ARS PRINT SIGN GIFT LTDA45806ARS PRINT </v>
      </c>
      <c r="F151" s="2" t="e">
        <f aca="false">VLOOKUP(E151,#REF!,1,0)</f>
        <v>#VALUE!</v>
      </c>
      <c r="G151" s="5" t="s">
        <v>264</v>
      </c>
      <c r="H151" s="8" t="n">
        <v>2475</v>
      </c>
      <c r="I151" s="8" t="n">
        <v>2475</v>
      </c>
      <c r="J151" s="9" t="s">
        <v>221</v>
      </c>
      <c r="L151" s="12" t="n">
        <v>45</v>
      </c>
      <c r="N151" s="1" t="n">
        <f aca="false">IFERROR(I151/L151,"-")</f>
        <v>55</v>
      </c>
    </row>
    <row r="152" customFormat="false" ht="13.8" hidden="false" customHeight="false" outlineLevel="0" collapsed="false">
      <c r="A152" s="5" t="s">
        <v>265</v>
      </c>
      <c r="B152" s="6" t="n">
        <v>45778</v>
      </c>
      <c r="C152" s="11" t="n">
        <v>45806</v>
      </c>
      <c r="D152" s="11" t="n">
        <v>45806</v>
      </c>
      <c r="E152" s="2" t="str">
        <f aca="false">_xlfn.CONCAT(A152,D152,LEFT(G152,10))</f>
        <v>JAVEP VEICULOS PECAS E SERVICOS LTDA45806JAVEP VEIC</v>
      </c>
      <c r="F152" s="2" t="e">
        <f aca="false">VLOOKUP(E152,#REF!,1,0)</f>
        <v>#VALUE!</v>
      </c>
      <c r="G152" s="5" t="s">
        <v>265</v>
      </c>
      <c r="H152" s="8" t="n">
        <v>1800</v>
      </c>
      <c r="I152" s="8" t="n">
        <v>1800</v>
      </c>
      <c r="J152" s="9" t="s">
        <v>137</v>
      </c>
      <c r="K152" s="1" t="s">
        <v>171</v>
      </c>
      <c r="L152" s="12" t="n">
        <v>1</v>
      </c>
      <c r="N152" s="1" t="n">
        <f aca="false">IFERROR(I152/L152,"-")</f>
        <v>1800</v>
      </c>
    </row>
    <row r="153" customFormat="false" ht="13.8" hidden="false" customHeight="false" outlineLevel="0" collapsed="false">
      <c r="A153" s="5" t="s">
        <v>266</v>
      </c>
      <c r="B153" s="6" t="n">
        <v>45778</v>
      </c>
      <c r="C153" s="11" t="n">
        <v>45792</v>
      </c>
      <c r="D153" s="11" t="n">
        <v>45806</v>
      </c>
      <c r="E153" s="2" t="str">
        <f aca="false">_xlfn.CONCAT(A153,D153,LEFT(G153,10))</f>
        <v>SERVIÇO SOCIAL DO COMÉRCIO45806SERVIÇO SO</v>
      </c>
      <c r="F153" s="2" t="e">
        <f aca="false">VLOOKUP(E153,#REF!,1,0)</f>
        <v>#VALUE!</v>
      </c>
      <c r="G153" s="5" t="s">
        <v>266</v>
      </c>
      <c r="H153" s="8" t="n">
        <v>3281.53</v>
      </c>
      <c r="I153" s="8" t="n">
        <v>3281.53</v>
      </c>
      <c r="J153" s="9"/>
      <c r="K153" s="1" t="s">
        <v>139</v>
      </c>
      <c r="L153" s="12" t="n">
        <v>49</v>
      </c>
      <c r="N153" s="1" t="n">
        <f aca="false">IFERROR(I153/L153,"-")</f>
        <v>66.97</v>
      </c>
    </row>
    <row r="154" customFormat="false" ht="13.8" hidden="true" customHeight="false" outlineLevel="0" collapsed="false">
      <c r="A154" s="10" t="s">
        <v>12</v>
      </c>
      <c r="B154" s="6" t="n">
        <v>45748</v>
      </c>
      <c r="C154" s="7" t="n">
        <v>45743</v>
      </c>
      <c r="D154" s="7" t="n">
        <v>45807</v>
      </c>
      <c r="E154" s="2" t="str">
        <f aca="false">_xlfn.CONCAT(A154,D154,LEFT(G154,10))</f>
        <v>DIFUSORA45807RAFAEL ANA</v>
      </c>
      <c r="F154" s="2" t="e">
        <f aca="false">VLOOKUP(E154,#REF!,1,0)</f>
        <v>#VALUE!</v>
      </c>
      <c r="G154" s="5" t="s">
        <v>320</v>
      </c>
      <c r="H154" s="8" t="n">
        <v>3375</v>
      </c>
      <c r="I154" s="8" t="n">
        <v>2700</v>
      </c>
      <c r="J154" s="9"/>
      <c r="K154" s="9" t="s">
        <v>155</v>
      </c>
      <c r="M154" s="9" t="s">
        <v>321</v>
      </c>
      <c r="N154" s="1" t="str">
        <f aca="false">IFERROR(I154/L154,"-")</f>
        <v>-</v>
      </c>
    </row>
    <row r="155" customFormat="false" ht="13.8" hidden="false" customHeight="false" outlineLevel="0" collapsed="false">
      <c r="A155" s="10" t="s">
        <v>334</v>
      </c>
      <c r="B155" s="6" t="n">
        <v>45748</v>
      </c>
      <c r="C155" s="7" t="n">
        <v>45755</v>
      </c>
      <c r="D155" s="7" t="n">
        <v>45807</v>
      </c>
      <c r="E155" s="2" t="str">
        <f aca="false">_xlfn.CONCAT(A155,D155,LEFT(G155,10))</f>
        <v>NOVA BRASIL45807VILLA MONT</v>
      </c>
      <c r="F155" s="2" t="e">
        <f aca="false">VLOOKUP(E155,#REF!,1,0)</f>
        <v>#VALUE!</v>
      </c>
      <c r="G155" s="5" t="s">
        <v>267</v>
      </c>
      <c r="H155" s="8" t="n">
        <v>2200</v>
      </c>
      <c r="I155" s="8" t="n">
        <v>1760</v>
      </c>
      <c r="J155" s="9"/>
      <c r="K155" s="9" t="s">
        <v>139</v>
      </c>
      <c r="M155" s="9" t="s">
        <v>214</v>
      </c>
      <c r="N155" s="1" t="str">
        <f aca="false">IFERROR(I155/L155,"-")</f>
        <v>-</v>
      </c>
    </row>
    <row r="156" customFormat="false" ht="13.8" hidden="false" customHeight="false" outlineLevel="0" collapsed="false">
      <c r="A156" s="5" t="s">
        <v>165</v>
      </c>
      <c r="B156" s="6" t="n">
        <v>45778</v>
      </c>
      <c r="C156" s="11" t="n">
        <v>45786</v>
      </c>
      <c r="D156" s="11" t="n">
        <v>45807</v>
      </c>
      <c r="E156" s="2" t="str">
        <f aca="false">_xlfn.CONCAT(A156,D156,LEFT(G156,10))</f>
        <v>ALPINIA VEICULOS E PEÇAS LTDA45807ALPINIA VE</v>
      </c>
      <c r="F156" s="2" t="e">
        <f aca="false">VLOOKUP(E156,#REF!,1,0)</f>
        <v>#VALUE!</v>
      </c>
      <c r="G156" s="5" t="s">
        <v>165</v>
      </c>
      <c r="H156" s="8" t="n">
        <v>4029.3</v>
      </c>
      <c r="I156" s="8" t="n">
        <v>3223.44</v>
      </c>
      <c r="J156" s="9"/>
      <c r="L156" s="12" t="n">
        <v>100</v>
      </c>
      <c r="M156" s="1" t="s">
        <v>166</v>
      </c>
      <c r="N156" s="1" t="n">
        <f aca="false">IFERROR(I156/L156,"-")</f>
        <v>32.2344</v>
      </c>
    </row>
    <row r="157" customFormat="false" ht="13.8" hidden="false" customHeight="false" outlineLevel="0" collapsed="false">
      <c r="A157" s="5" t="s">
        <v>268</v>
      </c>
      <c r="B157" s="6" t="n">
        <v>45778</v>
      </c>
      <c r="C157" s="11" t="n">
        <v>45783</v>
      </c>
      <c r="D157" s="11" t="n">
        <v>45807</v>
      </c>
      <c r="E157" s="2" t="str">
        <f aca="false">_xlfn.CONCAT(A157,D157,LEFT(G157,10))</f>
        <v>ASSOC UNIF PTA DE ENSINO RENOVADO OBJETIVO45807ASSOC UNIF</v>
      </c>
      <c r="F157" s="2" t="e">
        <f aca="false">VLOOKUP(E157,#REF!,1,0)</f>
        <v>#VALUE!</v>
      </c>
      <c r="G157" s="5" t="s">
        <v>268</v>
      </c>
      <c r="H157" s="8" t="n">
        <v>5455.21</v>
      </c>
      <c r="I157" s="8" t="n">
        <v>4364.168</v>
      </c>
      <c r="J157" s="9"/>
      <c r="K157" s="1" t="s">
        <v>171</v>
      </c>
      <c r="L157" s="12" t="n">
        <v>72</v>
      </c>
      <c r="M157" s="1" t="s">
        <v>238</v>
      </c>
      <c r="N157" s="1" t="n">
        <f aca="false">IFERROR(I157/L157,"-")</f>
        <v>60.6134444444444</v>
      </c>
    </row>
    <row r="158" customFormat="false" ht="13.8" hidden="false" customHeight="false" outlineLevel="0" collapsed="false">
      <c r="A158" s="5" t="s">
        <v>193</v>
      </c>
      <c r="B158" s="6" t="n">
        <v>45778</v>
      </c>
      <c r="C158" s="11" t="n">
        <v>45785</v>
      </c>
      <c r="D158" s="11" t="n">
        <v>45807</v>
      </c>
      <c r="E158" s="2" t="str">
        <f aca="false">_xlfn.CONCAT(A158,D158,LEFT(G158,10))</f>
        <v>COMERCIAL PROTON LIMITADA45807COMERCIAL </v>
      </c>
      <c r="F158" s="2" t="e">
        <f aca="false">VLOOKUP(E158,#REF!,1,0)</f>
        <v>#VALUE!</v>
      </c>
      <c r="G158" s="5" t="s">
        <v>193</v>
      </c>
      <c r="H158" s="8" t="n">
        <v>1872.89</v>
      </c>
      <c r="I158" s="8" t="n">
        <v>1498.312</v>
      </c>
      <c r="J158" s="9"/>
      <c r="L158" s="12" t="n">
        <v>40</v>
      </c>
      <c r="M158" s="1" t="s">
        <v>269</v>
      </c>
      <c r="N158" s="1" t="n">
        <f aca="false">IFERROR(I158/L158,"-")</f>
        <v>37.4578</v>
      </c>
    </row>
    <row r="159" customFormat="false" ht="13.8" hidden="false" customHeight="false" outlineLevel="0" collapsed="false">
      <c r="A159" s="5" t="s">
        <v>150</v>
      </c>
      <c r="B159" s="6" t="n">
        <v>45778</v>
      </c>
      <c r="C159" s="11" t="n">
        <v>45777</v>
      </c>
      <c r="D159" s="11" t="n">
        <v>45807</v>
      </c>
      <c r="E159" s="2" t="str">
        <f aca="false">_xlfn.CONCAT(A159,D159,LEFT(G159,10))</f>
        <v>COMPANHIA BRASILEIRA DISTRIBUIÇÃO45807COMPANHIA </v>
      </c>
      <c r="F159" s="2" t="e">
        <f aca="false">VLOOKUP(E159,#REF!,1,0)</f>
        <v>#VALUE!</v>
      </c>
      <c r="G159" s="5" t="s">
        <v>150</v>
      </c>
      <c r="H159" s="8" t="n">
        <v>2636.25</v>
      </c>
      <c r="I159" s="8" t="n">
        <v>2109</v>
      </c>
      <c r="J159" s="9"/>
      <c r="K159" s="1" t="s">
        <v>152</v>
      </c>
      <c r="L159" s="12" t="n">
        <v>25</v>
      </c>
      <c r="M159" s="1" t="s">
        <v>151</v>
      </c>
      <c r="N159" s="1" t="n">
        <f aca="false">IFERROR(I159/L159,"-")</f>
        <v>84.36</v>
      </c>
    </row>
    <row r="160" customFormat="false" ht="13.8" hidden="false" customHeight="false" outlineLevel="0" collapsed="false">
      <c r="A160" s="5" t="s">
        <v>270</v>
      </c>
      <c r="B160" s="6" t="n">
        <v>45778</v>
      </c>
      <c r="C160" s="11" t="n">
        <v>45777</v>
      </c>
      <c r="D160" s="11" t="n">
        <v>45807</v>
      </c>
      <c r="E160" s="2" t="str">
        <f aca="false">_xlfn.CONCAT(A160,D160,LEFT(G160,10))</f>
        <v>HB23 EMPREENDIMENTOS IMOBILIARIOS45807HB23 EMPRE</v>
      </c>
      <c r="F160" s="2" t="e">
        <f aca="false">VLOOKUP(E160,#REF!,1,0)</f>
        <v>#VALUE!</v>
      </c>
      <c r="G160" s="5" t="s">
        <v>270</v>
      </c>
      <c r="H160" s="8" t="n">
        <v>2700</v>
      </c>
      <c r="I160" s="8" t="n">
        <v>2160</v>
      </c>
      <c r="J160" s="9"/>
      <c r="K160" s="1" t="s">
        <v>139</v>
      </c>
      <c r="L160" s="12" t="n">
        <v>60</v>
      </c>
      <c r="M160" s="1" t="s">
        <v>204</v>
      </c>
      <c r="N160" s="1" t="n">
        <f aca="false">IFERROR(I160/L160,"-")</f>
        <v>36</v>
      </c>
    </row>
    <row r="161" customFormat="false" ht="13.8" hidden="false" customHeight="false" outlineLevel="0" collapsed="false">
      <c r="A161" s="5" t="s">
        <v>271</v>
      </c>
      <c r="B161" s="6" t="n">
        <v>45778</v>
      </c>
      <c r="C161" s="11" t="n">
        <v>45777</v>
      </c>
      <c r="D161" s="11" t="n">
        <v>45807</v>
      </c>
      <c r="E161" s="2" t="str">
        <f aca="false">_xlfn.CONCAT(A161,D161,LEFT(G161,10))</f>
        <v>HB35 EMPREENDIMENTOS IMOBILIARIOS45807HB35 EMPRE</v>
      </c>
      <c r="F161" s="2" t="e">
        <f aca="false">VLOOKUP(E161,#REF!,1,0)</f>
        <v>#VALUE!</v>
      </c>
      <c r="G161" s="5" t="s">
        <v>271</v>
      </c>
      <c r="H161" s="8" t="n">
        <v>3600</v>
      </c>
      <c r="I161" s="8" t="n">
        <v>2880</v>
      </c>
      <c r="J161" s="9"/>
      <c r="K161" s="1" t="s">
        <v>139</v>
      </c>
      <c r="L161" s="12" t="n">
        <v>80</v>
      </c>
      <c r="M161" s="1" t="s">
        <v>204</v>
      </c>
      <c r="N161" s="1" t="n">
        <f aca="false">IFERROR(I161/L161,"-")</f>
        <v>36</v>
      </c>
    </row>
    <row r="162" customFormat="false" ht="13.8" hidden="false" customHeight="false" outlineLevel="0" collapsed="false">
      <c r="A162" s="5" t="s">
        <v>265</v>
      </c>
      <c r="B162" s="6" t="n">
        <v>45778</v>
      </c>
      <c r="C162" s="11" t="n">
        <v>45785</v>
      </c>
      <c r="D162" s="11" t="n">
        <v>45807</v>
      </c>
      <c r="E162" s="2" t="str">
        <f aca="false">_xlfn.CONCAT(A162,D162,LEFT(G162,10))</f>
        <v>JAVEP VEICULOS PECAS E SERVICOS LTDA45807JAVEP VEIC</v>
      </c>
      <c r="F162" s="2" t="e">
        <f aca="false">VLOOKUP(E162,#REF!,1,0)</f>
        <v>#VALUE!</v>
      </c>
      <c r="G162" s="5" t="s">
        <v>265</v>
      </c>
      <c r="H162" s="8" t="n">
        <v>4920</v>
      </c>
      <c r="I162" s="8" t="n">
        <v>4920</v>
      </c>
      <c r="J162" s="9" t="s">
        <v>137</v>
      </c>
      <c r="K162" s="1" t="s">
        <v>171</v>
      </c>
      <c r="L162" s="12" t="n">
        <v>78</v>
      </c>
      <c r="N162" s="1" t="n">
        <f aca="false">IFERROR(I162/L162,"-")</f>
        <v>63.0769230769231</v>
      </c>
    </row>
    <row r="163" customFormat="false" ht="13.8" hidden="false" customHeight="false" outlineLevel="0" collapsed="false">
      <c r="A163" s="5" t="s">
        <v>246</v>
      </c>
      <c r="B163" s="6" t="n">
        <v>45778</v>
      </c>
      <c r="C163" s="11" t="n">
        <v>45776</v>
      </c>
      <c r="D163" s="11" t="n">
        <v>45807</v>
      </c>
      <c r="E163" s="2" t="str">
        <f aca="false">_xlfn.CONCAT(A163,D163,LEFT(G163,10))</f>
        <v>METROPOLITAN EDCUCAÇÃO LTDA45807METROPOLIT</v>
      </c>
      <c r="F163" s="2" t="e">
        <f aca="false">VLOOKUP(E163,#REF!,1,0)</f>
        <v>#VALUE!</v>
      </c>
      <c r="G163" s="5" t="s">
        <v>246</v>
      </c>
      <c r="H163" s="8" t="n">
        <v>12000</v>
      </c>
      <c r="I163" s="8" t="n">
        <v>12000</v>
      </c>
      <c r="J163" s="9"/>
      <c r="L163" s="12" t="n">
        <v>73</v>
      </c>
      <c r="N163" s="1" t="n">
        <f aca="false">IFERROR(I163/L163,"-")</f>
        <v>164.383561643836</v>
      </c>
    </row>
    <row r="164" customFormat="false" ht="13.8" hidden="false" customHeight="false" outlineLevel="0" collapsed="false">
      <c r="A164" s="5" t="s">
        <v>213</v>
      </c>
      <c r="B164" s="6" t="n">
        <v>45778</v>
      </c>
      <c r="C164" s="11" t="n">
        <v>45790</v>
      </c>
      <c r="D164" s="11" t="n">
        <v>45807</v>
      </c>
      <c r="E164" s="2" t="str">
        <f aca="false">_xlfn.CONCAT(A164,D164,LEFT(G164,10))</f>
        <v>PAGANO AUTHORIA TRIANON EMPREENDIMENTOS45807PAGANO AUT</v>
      </c>
      <c r="F164" s="2" t="e">
        <f aca="false">VLOOKUP(E164,#REF!,1,0)</f>
        <v>#VALUE!</v>
      </c>
      <c r="G164" s="5" t="s">
        <v>213</v>
      </c>
      <c r="H164" s="8" t="n">
        <v>3000</v>
      </c>
      <c r="I164" s="8" t="n">
        <v>2400</v>
      </c>
      <c r="J164" s="9"/>
      <c r="K164" s="1" t="s">
        <v>139</v>
      </c>
      <c r="L164" s="12" t="n">
        <v>75</v>
      </c>
      <c r="M164" s="1" t="s">
        <v>214</v>
      </c>
      <c r="N164" s="1" t="n">
        <f aca="false">IFERROR(I164/L164,"-")</f>
        <v>32</v>
      </c>
    </row>
    <row r="165" customFormat="false" ht="13.8" hidden="false" customHeight="false" outlineLevel="0" collapsed="false">
      <c r="A165" s="5" t="s">
        <v>272</v>
      </c>
      <c r="B165" s="6" t="n">
        <v>45778</v>
      </c>
      <c r="C165" s="11" t="n">
        <v>45790</v>
      </c>
      <c r="D165" s="11" t="n">
        <v>45807</v>
      </c>
      <c r="E165" s="2" t="str">
        <f aca="false">_xlfn.CONCAT(A165,D165,LEFT(G165,10))</f>
        <v>PAGANO FASCINIO FIUSA EMPREENDIMENTOS IMOBILIA45807PAGANO FAS</v>
      </c>
      <c r="F165" s="2" t="e">
        <f aca="false">VLOOKUP(E165,#REF!,1,0)</f>
        <v>#VALUE!</v>
      </c>
      <c r="G165" s="5" t="s">
        <v>272</v>
      </c>
      <c r="H165" s="8" t="n">
        <v>3000</v>
      </c>
      <c r="I165" s="8" t="n">
        <v>2400</v>
      </c>
      <c r="J165" s="9"/>
      <c r="K165" s="1" t="s">
        <v>139</v>
      </c>
      <c r="L165" s="12" t="n">
        <v>75</v>
      </c>
      <c r="M165" s="1" t="s">
        <v>214</v>
      </c>
      <c r="N165" s="1" t="n">
        <f aca="false">IFERROR(I165/L165,"-")</f>
        <v>32</v>
      </c>
    </row>
    <row r="166" customFormat="false" ht="13.8" hidden="false" customHeight="false" outlineLevel="0" collapsed="false">
      <c r="A166" s="5" t="s">
        <v>273</v>
      </c>
      <c r="B166" s="6" t="n">
        <v>45778</v>
      </c>
      <c r="C166" s="11" t="n">
        <v>45777</v>
      </c>
      <c r="D166" s="11" t="n">
        <v>45807</v>
      </c>
      <c r="E166" s="2" t="str">
        <f aca="false">_xlfn.CONCAT(A166,D166,LEFT(G166,10))</f>
        <v>SERVIÇO DE APOIO AS MICROS PEQUENAS EMPRESAS45807SERVIÇO DE</v>
      </c>
      <c r="F166" s="2" t="e">
        <f aca="false">VLOOKUP(E166,#REF!,1,0)</f>
        <v>#VALUE!</v>
      </c>
      <c r="G166" s="5" t="s">
        <v>273</v>
      </c>
      <c r="H166" s="8" t="n">
        <v>1318.68</v>
      </c>
      <c r="I166" s="8" t="n">
        <v>1054.944</v>
      </c>
      <c r="J166" s="9"/>
      <c r="K166" s="1" t="s">
        <v>152</v>
      </c>
      <c r="L166" s="12" t="n">
        <v>12</v>
      </c>
      <c r="M166" s="1" t="s">
        <v>135</v>
      </c>
      <c r="N166" s="1" t="n">
        <f aca="false">IFERROR(I166/L166,"-")</f>
        <v>87.912</v>
      </c>
    </row>
    <row r="167" customFormat="false" ht="13.8" hidden="false" customHeight="false" outlineLevel="0" collapsed="false">
      <c r="A167" s="5" t="s">
        <v>274</v>
      </c>
      <c r="B167" s="6" t="n">
        <v>45778</v>
      </c>
      <c r="C167" s="11" t="n">
        <v>45772</v>
      </c>
      <c r="D167" s="11" t="n">
        <v>45807</v>
      </c>
      <c r="E167" s="2" t="str">
        <f aca="false">_xlfn.CONCAT(A167,D167,LEFT(G167,10))</f>
        <v>SICOOB COCRED COOPERATIVA DE CRÉDITO45807SICOOB COC</v>
      </c>
      <c r="F167" s="2" t="e">
        <f aca="false">VLOOKUP(E167,#REF!,1,0)</f>
        <v>#VALUE!</v>
      </c>
      <c r="G167" s="5" t="s">
        <v>274</v>
      </c>
      <c r="H167" s="8" t="n">
        <v>2872.8</v>
      </c>
      <c r="I167" s="8" t="n">
        <v>2298.24</v>
      </c>
      <c r="J167" s="9"/>
      <c r="K167" s="1" t="s">
        <v>139</v>
      </c>
      <c r="L167" s="12" t="n">
        <v>60</v>
      </c>
      <c r="M167" s="1" t="s">
        <v>157</v>
      </c>
      <c r="N167" s="1" t="n">
        <f aca="false">IFERROR(I167/L167,"-")</f>
        <v>38.304</v>
      </c>
    </row>
    <row r="168" customFormat="false" ht="13.8" hidden="false" customHeight="false" outlineLevel="0" collapsed="false">
      <c r="A168" s="5" t="s">
        <v>267</v>
      </c>
      <c r="B168" s="6" t="n">
        <v>45778</v>
      </c>
      <c r="C168" s="11" t="n">
        <v>45755</v>
      </c>
      <c r="D168" s="11" t="n">
        <v>45807</v>
      </c>
      <c r="E168" s="2" t="str">
        <f aca="false">_xlfn.CONCAT(A168,D168,LEFT(G168,10))</f>
        <v>VILLA MONTESE EMPREENDIMENTOS IMOBI45807VILLA MONT</v>
      </c>
      <c r="F168" s="2" t="e">
        <f aca="false">VLOOKUP(E168,#REF!,1,0)</f>
        <v>#VALUE!</v>
      </c>
      <c r="G168" s="5" t="s">
        <v>267</v>
      </c>
      <c r="H168" s="8" t="n">
        <v>4000</v>
      </c>
      <c r="I168" s="8" t="n">
        <v>3200</v>
      </c>
      <c r="J168" s="9"/>
      <c r="K168" s="1" t="s">
        <v>139</v>
      </c>
      <c r="L168" s="12" t="n">
        <v>100</v>
      </c>
      <c r="M168" s="1" t="s">
        <v>214</v>
      </c>
      <c r="N168" s="1" t="n">
        <f aca="false">IFERROR(I168/L168,"-")</f>
        <v>32</v>
      </c>
    </row>
    <row r="169" customFormat="false" ht="13.8" hidden="false" customHeight="false" outlineLevel="0" collapsed="false">
      <c r="A169" s="10" t="s">
        <v>334</v>
      </c>
      <c r="B169" s="6" t="n">
        <v>45748</v>
      </c>
      <c r="C169" s="7" t="n">
        <v>45777</v>
      </c>
      <c r="D169" s="7" t="n">
        <v>45808</v>
      </c>
      <c r="E169" s="2" t="str">
        <f aca="false">_xlfn.CONCAT(A169,D169,LEFT(G169,10))</f>
        <v>NOVA BRASIL45808ONTAKE VEI</v>
      </c>
      <c r="F169" s="2" t="e">
        <f aca="false">VLOOKUP(E169,#REF!,1,0)</f>
        <v>#VALUE!</v>
      </c>
      <c r="G169" s="15" t="s">
        <v>275</v>
      </c>
      <c r="H169" s="8" t="n">
        <v>3750</v>
      </c>
      <c r="I169" s="8" t="n">
        <v>3000</v>
      </c>
      <c r="J169" s="9"/>
      <c r="K169" s="9" t="s">
        <v>139</v>
      </c>
      <c r="M169" s="9" t="s">
        <v>212</v>
      </c>
      <c r="N169" s="1" t="str">
        <f aca="false">IFERROR(I169/L169,"-")</f>
        <v>-</v>
      </c>
    </row>
    <row r="170" customFormat="false" ht="13.8" hidden="false" customHeight="false" outlineLevel="0" collapsed="false">
      <c r="A170" s="5" t="s">
        <v>170</v>
      </c>
      <c r="B170" s="6" t="n">
        <v>45778</v>
      </c>
      <c r="C170" s="11" t="n">
        <v>45805</v>
      </c>
      <c r="D170" s="11" t="n">
        <v>45808</v>
      </c>
      <c r="E170" s="2" t="str">
        <f aca="false">_xlfn.CONCAT(A170,D170,LEFT(G170,10))</f>
        <v>ASSOC DOS LOJISTAS SHOPPING CENTER45808ASSOC DOS </v>
      </c>
      <c r="F170" s="2" t="e">
        <f aca="false">VLOOKUP(E170,#REF!,1,0)</f>
        <v>#VALUE!</v>
      </c>
      <c r="G170" s="5" t="s">
        <v>170</v>
      </c>
      <c r="H170" s="8" t="n">
        <v>1275</v>
      </c>
      <c r="I170" s="8" t="n">
        <v>1020</v>
      </c>
      <c r="J170" s="9"/>
      <c r="K170" s="1" t="s">
        <v>139</v>
      </c>
      <c r="L170" s="12" t="n">
        <v>15</v>
      </c>
      <c r="M170" s="1" t="s">
        <v>172</v>
      </c>
      <c r="N170" s="1" t="n">
        <f aca="false">IFERROR(I170/L170,"-")</f>
        <v>68</v>
      </c>
    </row>
    <row r="171" customFormat="false" ht="13.8" hidden="false" customHeight="false" outlineLevel="0" collapsed="false">
      <c r="A171" s="5" t="s">
        <v>170</v>
      </c>
      <c r="B171" s="6" t="n">
        <v>45778</v>
      </c>
      <c r="C171" s="11" t="n">
        <v>45805</v>
      </c>
      <c r="D171" s="11" t="n">
        <v>45808</v>
      </c>
      <c r="E171" s="2" t="str">
        <f aca="false">_xlfn.CONCAT(A171,D171,LEFT(G171,10))</f>
        <v>ASSOC DOS LOJISTAS SHOPPING CENTER45808ASSOC DOS </v>
      </c>
      <c r="F171" s="2" t="e">
        <f aca="false">VLOOKUP(E171,#REF!,1,0)</f>
        <v>#VALUE!</v>
      </c>
      <c r="G171" s="5" t="s">
        <v>170</v>
      </c>
      <c r="H171" s="8" t="n">
        <v>1275</v>
      </c>
      <c r="I171" s="8" t="n">
        <v>1020</v>
      </c>
      <c r="J171" s="9"/>
      <c r="K171" s="1" t="s">
        <v>171</v>
      </c>
      <c r="L171" s="12" t="n">
        <v>15</v>
      </c>
      <c r="M171" s="1" t="s">
        <v>172</v>
      </c>
      <c r="N171" s="1" t="n">
        <f aca="false">IFERROR(I171/L171,"-")</f>
        <v>68</v>
      </c>
    </row>
    <row r="172" customFormat="false" ht="13.8" hidden="false" customHeight="false" outlineLevel="0" collapsed="false">
      <c r="A172" s="5" t="s">
        <v>258</v>
      </c>
      <c r="B172" s="6" t="n">
        <v>45778</v>
      </c>
      <c r="C172" s="11" t="n">
        <v>45796</v>
      </c>
      <c r="D172" s="11" t="n">
        <v>45808</v>
      </c>
      <c r="E172" s="2" t="str">
        <f aca="false">_xlfn.CONCAT(A172,D172,LEFT(G172,10))</f>
        <v>BANANAS EVENTOS LTDA45808BANANAS EV</v>
      </c>
      <c r="F172" s="2" t="e">
        <f aca="false">VLOOKUP(E172,#REF!,1,0)</f>
        <v>#VALUE!</v>
      </c>
      <c r="G172" s="5" t="s">
        <v>258</v>
      </c>
      <c r="H172" s="8" t="n">
        <v>6442.06</v>
      </c>
      <c r="I172" s="8" t="n">
        <v>6442.06</v>
      </c>
      <c r="J172" s="9" t="s">
        <v>221</v>
      </c>
      <c r="K172" s="1" t="s">
        <v>222</v>
      </c>
      <c r="L172" s="12" t="n">
        <v>109</v>
      </c>
      <c r="N172" s="1" t="n">
        <f aca="false">IFERROR(I172/L172,"-")</f>
        <v>59.1014678899083</v>
      </c>
    </row>
    <row r="173" customFormat="false" ht="13.8" hidden="false" customHeight="false" outlineLevel="0" collapsed="false">
      <c r="A173" s="5" t="s">
        <v>258</v>
      </c>
      <c r="B173" s="6" t="n">
        <v>45778</v>
      </c>
      <c r="C173" s="11" t="n">
        <v>45796</v>
      </c>
      <c r="D173" s="11" t="n">
        <v>45808</v>
      </c>
      <c r="E173" s="2" t="str">
        <f aca="false">_xlfn.CONCAT(A173,D173,LEFT(G173,10))</f>
        <v>BANANAS EVENTOS LTDA45808BANANAS EV</v>
      </c>
      <c r="F173" s="2" t="e">
        <f aca="false">VLOOKUP(E173,#REF!,1,0)</f>
        <v>#VALUE!</v>
      </c>
      <c r="G173" s="5" t="s">
        <v>258</v>
      </c>
      <c r="H173" s="8" t="n">
        <v>10074.24</v>
      </c>
      <c r="I173" s="8" t="n">
        <v>10074.24</v>
      </c>
      <c r="J173" s="9" t="s">
        <v>137</v>
      </c>
      <c r="K173" s="1" t="s">
        <v>155</v>
      </c>
      <c r="L173" s="12" t="n">
        <v>204</v>
      </c>
      <c r="N173" s="1" t="n">
        <f aca="false">IFERROR(I173/L173,"-")</f>
        <v>49.3835294117647</v>
      </c>
    </row>
    <row r="174" customFormat="false" ht="13.8" hidden="false" customHeight="false" outlineLevel="0" collapsed="false">
      <c r="A174" s="5" t="s">
        <v>276</v>
      </c>
      <c r="B174" s="6" t="n">
        <v>45778</v>
      </c>
      <c r="C174" s="11" t="n">
        <v>45790</v>
      </c>
      <c r="D174" s="11" t="n">
        <v>45808</v>
      </c>
      <c r="E174" s="2" t="str">
        <f aca="false">_xlfn.CONCAT(A174,D174,LEFT(G174,10))</f>
        <v>NOW MOTORS COMERCIO DE VEICULOS E PEÇAS45808NOW MOTORS</v>
      </c>
      <c r="F174" s="2" t="e">
        <f aca="false">VLOOKUP(E174,#REF!,1,0)</f>
        <v>#VALUE!</v>
      </c>
      <c r="G174" s="5" t="s">
        <v>276</v>
      </c>
      <c r="H174" s="8" t="n">
        <v>8000</v>
      </c>
      <c r="I174" s="8" t="n">
        <v>6400</v>
      </c>
      <c r="J174" s="9"/>
      <c r="K174" s="1" t="s">
        <v>139</v>
      </c>
      <c r="L174" s="12" t="n">
        <v>160</v>
      </c>
      <c r="M174" s="1" t="s">
        <v>212</v>
      </c>
      <c r="N174" s="1" t="n">
        <f aca="false">IFERROR(I174/L174,"-")</f>
        <v>40</v>
      </c>
    </row>
    <row r="175" customFormat="false" ht="13.8" hidden="false" customHeight="false" outlineLevel="0" collapsed="false">
      <c r="A175" s="5" t="s">
        <v>277</v>
      </c>
      <c r="B175" s="6" t="n">
        <v>45778</v>
      </c>
      <c r="C175" s="11" t="n">
        <v>45793</v>
      </c>
      <c r="D175" s="11" t="n">
        <v>45809</v>
      </c>
      <c r="E175" s="2" t="str">
        <f aca="false">_xlfn.CONCAT(A175,D175,LEFT(G175,10))</f>
        <v>CERES INVESTIMENTOS E CONSULTORIA LTDA45809CERES INVE</v>
      </c>
      <c r="F175" s="2" t="e">
        <f aca="false">VLOOKUP(E175,#REF!,1,0)</f>
        <v>#VALUE!</v>
      </c>
      <c r="G175" s="5" t="s">
        <v>277</v>
      </c>
      <c r="H175" s="8" t="n">
        <v>3400</v>
      </c>
      <c r="I175" s="8" t="n">
        <v>3400</v>
      </c>
      <c r="J175" s="9"/>
      <c r="L175" s="12" t="n">
        <v>85</v>
      </c>
      <c r="M175" s="1" t="s">
        <v>278</v>
      </c>
      <c r="N175" s="1" t="n">
        <f aca="false">IFERROR(I175/L175,"-")</f>
        <v>40</v>
      </c>
    </row>
    <row r="176" customFormat="false" ht="13.8" hidden="false" customHeight="false" outlineLevel="0" collapsed="false">
      <c r="A176" s="10" t="s">
        <v>12</v>
      </c>
      <c r="B176" s="6" t="n">
        <v>45748</v>
      </c>
      <c r="C176" s="7" t="n">
        <v>45747</v>
      </c>
      <c r="D176" s="7" t="n">
        <v>45813</v>
      </c>
      <c r="E176" s="2" t="str">
        <f aca="false">_xlfn.CONCAT(A176,D176,LEFT(G176,10))</f>
        <v>DIFUSORA45813EMOV FÁBRI</v>
      </c>
      <c r="F176" s="2" t="e">
        <f aca="false">VLOOKUP(E176,#REF!,1,0)</f>
        <v>#VALUE!</v>
      </c>
      <c r="G176" s="5" t="s">
        <v>280</v>
      </c>
      <c r="H176" s="8" t="n">
        <v>11973</v>
      </c>
      <c r="I176" s="8" t="n">
        <v>11973</v>
      </c>
      <c r="J176" s="9" t="s">
        <v>137</v>
      </c>
      <c r="K176" s="9" t="s">
        <v>155</v>
      </c>
      <c r="M176" s="9"/>
      <c r="N176" s="1" t="str">
        <f aca="false">IFERROR(I176/L176,"-")</f>
        <v>-</v>
      </c>
    </row>
    <row r="177" customFormat="false" ht="13.8" hidden="false" customHeight="false" outlineLevel="0" collapsed="false">
      <c r="A177" s="10" t="s">
        <v>12</v>
      </c>
      <c r="B177" s="6" t="n">
        <v>45748</v>
      </c>
      <c r="C177" s="7" t="n">
        <v>45763</v>
      </c>
      <c r="D177" s="7" t="n">
        <v>45814</v>
      </c>
      <c r="E177" s="2" t="str">
        <f aca="false">_xlfn.CONCAT(A177,D177,LEFT(G177,10))</f>
        <v>DIFUSORA45814R. R AGÊNC</v>
      </c>
      <c r="F177" s="2" t="e">
        <f aca="false">VLOOKUP(E177,#REF!,1,0)</f>
        <v>#VALUE!</v>
      </c>
      <c r="G177" s="5" t="s">
        <v>281</v>
      </c>
      <c r="H177" s="8" t="n">
        <v>3000</v>
      </c>
      <c r="I177" s="8" t="n">
        <v>3000</v>
      </c>
      <c r="J177" s="9" t="s">
        <v>282</v>
      </c>
      <c r="K177" s="9"/>
      <c r="M177" s="9"/>
      <c r="N177" s="1" t="str">
        <f aca="false">IFERROR(I177/L177,"-")</f>
        <v>-</v>
      </c>
    </row>
    <row r="178" customFormat="false" ht="13.8" hidden="false" customHeight="false" outlineLevel="0" collapsed="false">
      <c r="A178" s="5" t="s">
        <v>248</v>
      </c>
      <c r="B178" s="6" t="n">
        <v>45778</v>
      </c>
      <c r="C178" s="11" t="n">
        <v>45792</v>
      </c>
      <c r="D178" s="11" t="n">
        <v>45819</v>
      </c>
      <c r="E178" s="2" t="str">
        <f aca="false">_xlfn.CONCAT(A178,D178,LEFT(G178,10))</f>
        <v>ASSOCIAÇÃO COMERCIAL INDUSTRIAL RIB PRETO45819ASSOCIAÇÃO</v>
      </c>
      <c r="F178" s="2" t="e">
        <f aca="false">VLOOKUP(E178,#REF!,1,0)</f>
        <v>#VALUE!</v>
      </c>
      <c r="G178" s="5" t="s">
        <v>248</v>
      </c>
      <c r="H178" s="8" t="n">
        <v>1732.5</v>
      </c>
      <c r="I178" s="8" t="n">
        <v>1732.5</v>
      </c>
      <c r="J178" s="9"/>
      <c r="K178" s="1" t="s">
        <v>171</v>
      </c>
      <c r="L178" s="12" t="n">
        <v>55</v>
      </c>
      <c r="N178" s="1" t="n">
        <f aca="false">IFERROR(I178/L178,"-")</f>
        <v>31.5</v>
      </c>
    </row>
    <row r="179" customFormat="false" ht="13.8" hidden="false" customHeight="false" outlineLevel="0" collapsed="false">
      <c r="A179" s="5" t="s">
        <v>286</v>
      </c>
      <c r="B179" s="6" t="n">
        <v>45778</v>
      </c>
      <c r="C179" s="11" t="n">
        <v>45804</v>
      </c>
      <c r="D179" s="11" t="n">
        <v>45821</v>
      </c>
      <c r="E179" s="2" t="str">
        <f aca="false">_xlfn.CONCAT(A179,D179,LEFT(G179,10))</f>
        <v>CONTABILISTA PLAY TREINAMENTOS LTDA45821CONTABILIS</v>
      </c>
      <c r="F179" s="2" t="e">
        <f aca="false">VLOOKUP(E179,#REF!,1,0)</f>
        <v>#VALUE!</v>
      </c>
      <c r="G179" s="5" t="s">
        <v>286</v>
      </c>
      <c r="H179" s="8" t="n">
        <v>1800</v>
      </c>
      <c r="I179" s="8" t="n">
        <v>1800</v>
      </c>
      <c r="J179" s="9"/>
      <c r="L179" s="12" t="n">
        <v>13</v>
      </c>
      <c r="N179" s="1" t="n">
        <f aca="false">IFERROR(I179/L179,"-")</f>
        <v>138.461538461538</v>
      </c>
    </row>
    <row r="180" customFormat="false" ht="13.8" hidden="false" customHeight="false" outlineLevel="0" collapsed="false">
      <c r="A180" s="5" t="s">
        <v>287</v>
      </c>
      <c r="B180" s="6" t="n">
        <v>45778</v>
      </c>
      <c r="C180" s="11" t="n">
        <v>45804</v>
      </c>
      <c r="D180" s="11" t="n">
        <v>45821</v>
      </c>
      <c r="E180" s="2" t="str">
        <f aca="false">_xlfn.CONCAT(A180,D180,LEFT(G180,10))</f>
        <v>DANSOL COMERCIO E SERVIÇOS LTDA45821DANSOL COM</v>
      </c>
      <c r="F180" s="2" t="e">
        <f aca="false">VLOOKUP(E180,#REF!,1,0)</f>
        <v>#VALUE!</v>
      </c>
      <c r="G180" s="5" t="s">
        <v>287</v>
      </c>
      <c r="H180" s="8" t="n">
        <v>2080</v>
      </c>
      <c r="I180" s="8" t="n">
        <v>2080</v>
      </c>
      <c r="J180" s="9"/>
      <c r="K180" s="1" t="s">
        <v>222</v>
      </c>
      <c r="L180" s="12" t="n">
        <v>104</v>
      </c>
      <c r="N180" s="1" t="n">
        <f aca="false">IFERROR(I180/L180,"-")</f>
        <v>20</v>
      </c>
    </row>
    <row r="181" customFormat="false" ht="13.8" hidden="false" customHeight="false" outlineLevel="0" collapsed="false">
      <c r="A181" s="5" t="s">
        <v>287</v>
      </c>
      <c r="B181" s="6" t="n">
        <v>45778</v>
      </c>
      <c r="C181" s="11" t="n">
        <v>45804</v>
      </c>
      <c r="D181" s="11" t="n">
        <v>45821</v>
      </c>
      <c r="E181" s="2" t="str">
        <f aca="false">_xlfn.CONCAT(A181,D181,LEFT(G181,10))</f>
        <v>DANSOL COMERCIO E SERVIÇOS LTDA45821DANSOL COM</v>
      </c>
      <c r="F181" s="2" t="e">
        <f aca="false">VLOOKUP(E181,#REF!,1,0)</f>
        <v>#VALUE!</v>
      </c>
      <c r="G181" s="5" t="s">
        <v>287</v>
      </c>
      <c r="H181" s="8" t="n">
        <v>2080</v>
      </c>
      <c r="I181" s="8" t="n">
        <v>2080</v>
      </c>
      <c r="J181" s="9"/>
      <c r="K181" s="1" t="s">
        <v>155</v>
      </c>
      <c r="L181" s="12" t="n">
        <v>104</v>
      </c>
      <c r="N181" s="1" t="n">
        <f aca="false">IFERROR(I181/L181,"-")</f>
        <v>20</v>
      </c>
    </row>
    <row r="182" customFormat="false" ht="13.8" hidden="false" customHeight="false" outlineLevel="0" collapsed="false">
      <c r="A182" s="5" t="s">
        <v>290</v>
      </c>
      <c r="B182" s="6" t="n">
        <v>45778</v>
      </c>
      <c r="C182" s="11" t="n">
        <v>45800</v>
      </c>
      <c r="D182" s="11" t="n">
        <v>45835</v>
      </c>
      <c r="E182" s="2" t="str">
        <f aca="false">_xlfn.CONCAT(A182,D182,LEFT(G182,10))</f>
        <v>COBASI COMERCIO DE PRODUTOS BÁSICOS45835COBASI COM</v>
      </c>
      <c r="F182" s="2" t="e">
        <f aca="false">VLOOKUP(E182,#REF!,1,0)</f>
        <v>#VALUE!</v>
      </c>
      <c r="G182" s="5" t="s">
        <v>290</v>
      </c>
      <c r="H182" s="8" t="n">
        <v>11500</v>
      </c>
      <c r="I182" s="8" t="n">
        <v>11500</v>
      </c>
      <c r="J182" s="9"/>
      <c r="K182" s="1" t="s">
        <v>291</v>
      </c>
      <c r="L182" s="16" t="n">
        <v>105</v>
      </c>
      <c r="N182" s="1" t="n">
        <f aca="false">IFERROR(I182/L182,"-")</f>
        <v>109.52380952381</v>
      </c>
    </row>
    <row r="183" customFormat="false" ht="13.8" hidden="false" customHeight="false" outlineLevel="0" collapsed="false">
      <c r="A183" s="5" t="s">
        <v>146</v>
      </c>
      <c r="B183" s="6" t="n">
        <v>45778</v>
      </c>
      <c r="C183" s="11" t="n">
        <v>45806</v>
      </c>
      <c r="D183" s="11" t="n">
        <v>45835</v>
      </c>
      <c r="E183" s="2" t="str">
        <f aca="false">_xlfn.CONCAT(A183,D183,LEFT(G183,10))</f>
        <v>THRIVE FINANCE LTDA45835THRIVE FIN</v>
      </c>
      <c r="F183" s="2" t="e">
        <f aca="false">VLOOKUP(E183,#REF!,1,0)</f>
        <v>#VALUE!</v>
      </c>
      <c r="G183" s="5" t="s">
        <v>146</v>
      </c>
      <c r="H183" s="8" t="n">
        <v>2500</v>
      </c>
      <c r="I183" s="8" t="n">
        <v>2500</v>
      </c>
      <c r="J183" s="9"/>
      <c r="L183" s="12" t="n">
        <v>22</v>
      </c>
      <c r="N183" s="1" t="n">
        <f aca="false">IFERROR(I183/L183,"-")</f>
        <v>113.636363636364</v>
      </c>
    </row>
    <row r="184" customFormat="false" ht="13.8" hidden="false" customHeight="false" outlineLevel="0" collapsed="false">
      <c r="A184" s="10" t="s">
        <v>334</v>
      </c>
      <c r="B184" s="6" t="n">
        <v>45748</v>
      </c>
      <c r="C184" s="7" t="n">
        <v>45743</v>
      </c>
      <c r="D184" s="7" t="n">
        <v>45838</v>
      </c>
      <c r="E184" s="2" t="str">
        <f aca="false">_xlfn.CONCAT(A184,D184,LEFT(G184,10))</f>
        <v>NOVA BRASIL45838RPO 11 BIL</v>
      </c>
      <c r="F184" s="2" t="e">
        <f aca="false">VLOOKUP(E184,#REF!,1,0)</f>
        <v>#VALUE!</v>
      </c>
      <c r="G184" s="5" t="s">
        <v>296</v>
      </c>
      <c r="H184" s="8" t="n">
        <v>5400</v>
      </c>
      <c r="I184" s="8" t="n">
        <v>5400</v>
      </c>
      <c r="J184" s="9"/>
      <c r="K184" s="9" t="s">
        <v>139</v>
      </c>
      <c r="M184" s="9"/>
      <c r="N184" s="1" t="str">
        <f aca="false">IFERROR(I184/L184,"-")</f>
        <v>-</v>
      </c>
    </row>
    <row r="185" customFormat="false" ht="13.8" hidden="false" customHeight="false" outlineLevel="0" collapsed="false">
      <c r="A185" s="10" t="s">
        <v>335</v>
      </c>
      <c r="B185" s="6" t="n">
        <v>45748</v>
      </c>
      <c r="C185" s="7" t="n">
        <v>45748</v>
      </c>
      <c r="D185" s="7" t="n">
        <v>45841</v>
      </c>
      <c r="E185" s="2" t="str">
        <f aca="false">_xlfn.CONCAT(A185,D185,LEFT(G185,10))</f>
        <v>TH+45841ADRIANA DO</v>
      </c>
      <c r="F185" s="2" t="e">
        <f aca="false">VLOOKUP(E185,#REF!,1,0)</f>
        <v>#VALUE!</v>
      </c>
      <c r="G185" s="5" t="s">
        <v>236</v>
      </c>
      <c r="H185" s="8" t="n">
        <v>2000</v>
      </c>
      <c r="I185" s="8" t="n">
        <v>2000</v>
      </c>
      <c r="J185" s="9"/>
      <c r="K185" s="9"/>
      <c r="M185" s="9"/>
      <c r="N185" s="1" t="str">
        <f aca="false">IFERROR(I185/L185,"-")</f>
        <v>-</v>
      </c>
    </row>
    <row r="186" customFormat="false" ht="13.8" hidden="false" customHeight="false" outlineLevel="0" collapsed="false">
      <c r="A186" s="10" t="s">
        <v>335</v>
      </c>
      <c r="B186" s="6" t="n">
        <v>45748</v>
      </c>
      <c r="C186" s="7" t="n">
        <v>45763</v>
      </c>
      <c r="D186" s="7" t="n">
        <v>45848</v>
      </c>
      <c r="E186" s="2" t="str">
        <f aca="false">_xlfn.CONCAT(A186,D186,LEFT(G186,10))</f>
        <v>TH+45848COOPERATIV</v>
      </c>
      <c r="F186" s="2" t="e">
        <f aca="false">VLOOKUP(E186,#REF!,1,0)</f>
        <v>#VALUE!</v>
      </c>
      <c r="G186" s="5" t="s">
        <v>298</v>
      </c>
      <c r="H186" s="8" t="n">
        <v>1750</v>
      </c>
      <c r="I186" s="8" t="n">
        <v>1750</v>
      </c>
      <c r="J186" s="9" t="s">
        <v>182</v>
      </c>
      <c r="K186" s="9" t="s">
        <v>299</v>
      </c>
      <c r="M186" s="9"/>
      <c r="N186" s="1" t="str">
        <f aca="false">IFERROR(I186/L186,"-")</f>
        <v>-</v>
      </c>
    </row>
    <row r="187" customFormat="false" ht="13.8" hidden="false" customHeight="false" outlineLevel="0" collapsed="false">
      <c r="A187" s="5" t="s">
        <v>298</v>
      </c>
      <c r="B187" s="6" t="n">
        <v>45778</v>
      </c>
      <c r="C187" s="11" t="n">
        <v>45763</v>
      </c>
      <c r="D187" s="11" t="n">
        <v>45848</v>
      </c>
      <c r="E187" s="2" t="str">
        <f aca="false">_xlfn.CONCAT(A187,D187,LEFT(G187,10))</f>
        <v>COOPERATIVA DE ECONOMIA E CREDITO45848COOPERATIV</v>
      </c>
      <c r="F187" s="2" t="e">
        <f aca="false">VLOOKUP(E187,#REF!,1,0)</f>
        <v>#VALUE!</v>
      </c>
      <c r="G187" s="5" t="s">
        <v>298</v>
      </c>
      <c r="H187" s="8" t="n">
        <v>4000</v>
      </c>
      <c r="I187" s="8" t="n">
        <v>4000</v>
      </c>
      <c r="J187" s="9" t="s">
        <v>182</v>
      </c>
      <c r="K187" s="1" t="s">
        <v>299</v>
      </c>
      <c r="L187" s="12"/>
      <c r="N187" s="1" t="str">
        <f aca="false">IFERROR(I187/L187,"-")</f>
        <v>-</v>
      </c>
    </row>
    <row r="188" customFormat="false" ht="13.8" hidden="false" customHeight="false" outlineLevel="0" collapsed="false">
      <c r="A188" s="5" t="s">
        <v>300</v>
      </c>
      <c r="B188" s="6" t="n">
        <v>45778</v>
      </c>
      <c r="C188" s="11" t="n">
        <v>45635</v>
      </c>
      <c r="D188" s="11" t="n">
        <v>45849</v>
      </c>
      <c r="E188" s="2" t="str">
        <f aca="false">_xlfn.CONCAT(A188,D188,LEFT(G188,10))</f>
        <v>SINDICATO DOS SERVIDORES MUNICIPAIS45849SINDICATO </v>
      </c>
      <c r="F188" s="2" t="e">
        <f aca="false">VLOOKUP(E188,#REF!,1,0)</f>
        <v>#VALUE!</v>
      </c>
      <c r="G188" s="5" t="s">
        <v>300</v>
      </c>
      <c r="H188" s="8" t="n">
        <v>2500</v>
      </c>
      <c r="I188" s="8" t="n">
        <v>2500</v>
      </c>
      <c r="J188" s="9" t="s">
        <v>231</v>
      </c>
      <c r="L188" s="12" t="n">
        <v>22</v>
      </c>
      <c r="N188" s="1" t="n">
        <f aca="false">IFERROR(I188/L188,"-")</f>
        <v>113.636363636364</v>
      </c>
    </row>
    <row r="189" customFormat="false" ht="13.8" hidden="false" customHeight="false" outlineLevel="0" collapsed="false">
      <c r="A189" s="5" t="s">
        <v>301</v>
      </c>
      <c r="B189" s="6" t="n">
        <v>45778</v>
      </c>
      <c r="C189" s="11" t="n">
        <v>45784</v>
      </c>
      <c r="D189" s="11" t="n">
        <v>45851</v>
      </c>
      <c r="E189" s="2" t="str">
        <f aca="false">_xlfn.CONCAT(A189,D189,LEFT(G189,10))</f>
        <v>FRESNO PRODUÇÕES ARTISTICAS LTDA45851FRESNO PRO</v>
      </c>
      <c r="F189" s="2" t="e">
        <f aca="false">VLOOKUP(E189,#REF!,1,0)</f>
        <v>#VALUE!</v>
      </c>
      <c r="G189" s="5" t="s">
        <v>301</v>
      </c>
      <c r="H189" s="8" t="n">
        <v>3000</v>
      </c>
      <c r="I189" s="8" t="n">
        <v>3000</v>
      </c>
      <c r="J189" s="9" t="s">
        <v>282</v>
      </c>
      <c r="L189" s="12" t="n">
        <v>88</v>
      </c>
      <c r="N189" s="1" t="n">
        <f aca="false">IFERROR(I189/L189,"-")</f>
        <v>34.0909090909091</v>
      </c>
    </row>
    <row r="190" customFormat="false" ht="13.8" hidden="false" customHeight="false" outlineLevel="0" collapsed="false">
      <c r="A190" s="5" t="s">
        <v>218</v>
      </c>
      <c r="B190" s="6" t="n">
        <v>45778</v>
      </c>
      <c r="C190" s="11" t="n">
        <v>45670</v>
      </c>
      <c r="D190" s="11" t="n">
        <v>45856</v>
      </c>
      <c r="E190" s="2" t="str">
        <f aca="false">_xlfn.CONCAT(A190,D190,LEFT(G190,10))</f>
        <v>PEREIRA ALVIM PARTICIPAÇÕES45856PEREIRA AL</v>
      </c>
      <c r="F190" s="2" t="e">
        <f aca="false">VLOOKUP(E190,#REF!,1,0)</f>
        <v>#VALUE!</v>
      </c>
      <c r="G190" s="5" t="s">
        <v>218</v>
      </c>
      <c r="H190" s="8" t="n">
        <v>3960</v>
      </c>
      <c r="I190" s="8" t="n">
        <v>3960</v>
      </c>
      <c r="J190" s="9" t="s">
        <v>168</v>
      </c>
      <c r="K190" s="1" t="s">
        <v>139</v>
      </c>
      <c r="L190" s="12" t="n">
        <v>55</v>
      </c>
      <c r="N190" s="1" t="n">
        <f aca="false">IFERROR(I190/L190,"-")</f>
        <v>72</v>
      </c>
    </row>
    <row r="191" customFormat="false" ht="13.8" hidden="false" customHeight="false" outlineLevel="0" collapsed="false">
      <c r="A191" s="10" t="s">
        <v>335</v>
      </c>
      <c r="B191" s="6" t="n">
        <v>45748</v>
      </c>
      <c r="C191" s="7" t="n">
        <v>45743</v>
      </c>
      <c r="D191" s="7" t="n">
        <v>45930</v>
      </c>
      <c r="E191" s="2" t="str">
        <f aca="false">_xlfn.CONCAT(A191,D191,LEFT(G191,10))</f>
        <v>TH+45930INICIAL CO</v>
      </c>
      <c r="F191" s="2" t="e">
        <f aca="false">VLOOKUP(E191,#REF!,1,0)</f>
        <v>#VALUE!</v>
      </c>
      <c r="G191" s="5" t="s">
        <v>314</v>
      </c>
      <c r="H191" s="8" t="n">
        <v>1200</v>
      </c>
      <c r="I191" s="8" t="n">
        <v>1200</v>
      </c>
      <c r="J191" s="9"/>
      <c r="K191" s="9"/>
      <c r="M191" s="9"/>
      <c r="N191" s="1" t="str">
        <f aca="false">IFERROR(I191/L191,"-")</f>
        <v>-</v>
      </c>
    </row>
    <row r="192" customFormat="false" ht="13.8" hidden="false" customHeight="false" outlineLevel="0" collapsed="false">
      <c r="A192" s="5" t="s">
        <v>314</v>
      </c>
      <c r="B192" s="6" t="n">
        <v>45778</v>
      </c>
      <c r="C192" s="11" t="n">
        <v>45742</v>
      </c>
      <c r="D192" s="11" t="n">
        <v>45930</v>
      </c>
      <c r="E192" s="2" t="str">
        <f aca="false">_xlfn.CONCAT(A192,D192,LEFT(G192,10))</f>
        <v>INICIAL COMERCIO DE COMBUSTIVEL45930INICIAL CO</v>
      </c>
      <c r="F192" s="2" t="e">
        <f aca="false">VLOOKUP(E192,#REF!,1,0)</f>
        <v>#VALUE!</v>
      </c>
      <c r="G192" s="5" t="s">
        <v>314</v>
      </c>
      <c r="H192" s="8" t="n">
        <v>1200</v>
      </c>
      <c r="I192" s="8" t="n">
        <v>1200</v>
      </c>
      <c r="J192" s="9"/>
      <c r="L192" s="12" t="n">
        <v>22</v>
      </c>
      <c r="N192" s="1" t="n">
        <f aca="false">IFERROR(I192/L192,"-")</f>
        <v>54.5454545454546</v>
      </c>
    </row>
    <row r="193" customFormat="false" ht="13.8" hidden="false" customHeight="false" outlineLevel="0" collapsed="false">
      <c r="A193" s="5" t="s">
        <v>317</v>
      </c>
      <c r="B193" s="6" t="n">
        <v>45778</v>
      </c>
      <c r="C193" s="11" t="n">
        <v>45792</v>
      </c>
      <c r="D193" s="11" t="n">
        <v>45975</v>
      </c>
      <c r="E193" s="2" t="str">
        <f aca="false">_xlfn.CONCAT(A193,D193,LEFT(G193,10))</f>
        <v>CENTRO EDUCACIONAL E CULTURAL ALMIEDA45975CENTRO EDU</v>
      </c>
      <c r="F193" s="2" t="e">
        <f aca="false">VLOOKUP(E193,#REF!,1,0)</f>
        <v>#VALUE!</v>
      </c>
      <c r="G193" s="5" t="s">
        <v>317</v>
      </c>
      <c r="H193" s="8" t="n">
        <v>1300</v>
      </c>
      <c r="I193" s="8" t="n">
        <v>1300</v>
      </c>
      <c r="J193" s="9"/>
      <c r="L193" s="12" t="n">
        <v>22</v>
      </c>
      <c r="N193" s="1" t="n">
        <f aca="false">IFERROR(I193/L193,"-")</f>
        <v>59.0909090909091</v>
      </c>
    </row>
    <row r="194" customFormat="false" ht="13.8" hidden="false" customHeight="false" outlineLevel="0" collapsed="false">
      <c r="A194" s="5" t="s">
        <v>210</v>
      </c>
      <c r="B194" s="6" t="n">
        <v>45778</v>
      </c>
      <c r="C194" s="11" t="n">
        <v>45951</v>
      </c>
      <c r="D194" s="11" t="n">
        <v>45991</v>
      </c>
      <c r="E194" s="2" t="str">
        <f aca="false">_xlfn.CONCAT(A194,D194,LEFT(G194,10))</f>
        <v>JEAN DANIEL CORAUCCI45991JEAN DANIE</v>
      </c>
      <c r="F194" s="2" t="e">
        <f aca="false">VLOOKUP(E194,#REF!,1,0)</f>
        <v>#VALUE!</v>
      </c>
      <c r="G194" s="5" t="s">
        <v>210</v>
      </c>
      <c r="H194" s="8" t="n">
        <v>8500</v>
      </c>
      <c r="I194" s="8" t="n">
        <v>8500</v>
      </c>
      <c r="J194" s="9"/>
      <c r="L194" s="12" t="n">
        <v>22</v>
      </c>
      <c r="N194" s="1" t="n">
        <f aca="false">IFERROR(I194/L194,"-")</f>
        <v>386.363636363636</v>
      </c>
    </row>
    <row r="195" customFormat="false" ht="13.8" hidden="true" customHeight="false" outlineLevel="0" collapsed="false">
      <c r="A195" s="10" t="s">
        <v>12</v>
      </c>
      <c r="B195" s="6" t="n">
        <v>45748</v>
      </c>
      <c r="C195" s="7" t="n">
        <v>45743</v>
      </c>
      <c r="D195" s="7" t="n">
        <v>46022</v>
      </c>
      <c r="E195" s="2" t="str">
        <f aca="false">_xlfn.CONCAT(A195,D195,LEFT(G195,10))</f>
        <v>DIFUSORA46022ASSOCIAÇÃO</v>
      </c>
      <c r="F195" s="2" t="e">
        <f aca="false">VLOOKUP(E195,#REF!,1,0)</f>
        <v>#VALUE!</v>
      </c>
      <c r="G195" s="5" t="s">
        <v>158</v>
      </c>
      <c r="H195" s="8" t="n">
        <v>3333</v>
      </c>
      <c r="I195" s="8" t="n">
        <v>3333</v>
      </c>
      <c r="J195" s="9"/>
      <c r="K195" s="9" t="s">
        <v>171</v>
      </c>
      <c r="M195" s="9"/>
      <c r="N195" s="1" t="str">
        <f aca="false">IFERROR(I195/L195,"-")</f>
        <v>-</v>
      </c>
    </row>
    <row r="196" customFormat="false" ht="13.8" hidden="false" customHeight="false" outlineLevel="0" collapsed="false">
      <c r="A196" s="10" t="s">
        <v>334</v>
      </c>
      <c r="B196" s="6" t="n">
        <v>45748</v>
      </c>
      <c r="C196" s="7" t="n">
        <v>45743</v>
      </c>
      <c r="D196" s="7" t="n">
        <v>46022</v>
      </c>
      <c r="E196" s="2" t="str">
        <f aca="false">_xlfn.CONCAT(A196,D196,LEFT(G196,10))</f>
        <v>NOVA BRASIL46022ASSOCIAÇÃO</v>
      </c>
      <c r="F196" s="2" t="e">
        <f aca="false">VLOOKUP(E196,#REF!,1,0)</f>
        <v>#VALUE!</v>
      </c>
      <c r="G196" s="5" t="s">
        <v>158</v>
      </c>
      <c r="H196" s="8" t="n">
        <v>3333</v>
      </c>
      <c r="I196" s="8" t="n">
        <v>3333</v>
      </c>
      <c r="J196" s="9"/>
      <c r="K196" s="9" t="s">
        <v>139</v>
      </c>
      <c r="M196" s="9"/>
      <c r="N196" s="1" t="str">
        <f aca="false">IFERROR(I196/L196,"-")</f>
        <v>-</v>
      </c>
    </row>
    <row r="197" customFormat="false" ht="13.8" hidden="false" customHeight="false" outlineLevel="0" collapsed="false">
      <c r="A197" s="10" t="s">
        <v>335</v>
      </c>
      <c r="B197" s="6" t="n">
        <v>45748</v>
      </c>
      <c r="C197" s="7" t="n">
        <v>45743</v>
      </c>
      <c r="D197" s="7" t="n">
        <v>46022</v>
      </c>
      <c r="E197" s="2" t="str">
        <f aca="false">_xlfn.CONCAT(A197,D197,LEFT(G197,10))</f>
        <v>TH+46022GS INIMA B</v>
      </c>
      <c r="F197" s="2" t="e">
        <f aca="false">VLOOKUP(E197,#REF!,1,0)</f>
        <v>#VALUE!</v>
      </c>
      <c r="G197" s="5" t="s">
        <v>241</v>
      </c>
      <c r="H197" s="8" t="n">
        <v>18645</v>
      </c>
      <c r="I197" s="8" t="n">
        <v>18645</v>
      </c>
      <c r="J197" s="9" t="s">
        <v>182</v>
      </c>
      <c r="K197" s="9"/>
      <c r="M197" s="9"/>
      <c r="N197" s="1" t="str">
        <f aca="false">IFERROR(I197/L197,"-")</f>
        <v>-</v>
      </c>
    </row>
    <row r="198" customFormat="false" ht="13.8" hidden="false" customHeight="false" outlineLevel="0" collapsed="false">
      <c r="A198" s="10" t="s">
        <v>12</v>
      </c>
      <c r="B198" s="6" t="n">
        <v>45748</v>
      </c>
      <c r="C198" s="7" t="n">
        <v>45743</v>
      </c>
      <c r="D198" s="7" t="n">
        <v>46022</v>
      </c>
      <c r="E198" s="2" t="str">
        <f aca="false">_xlfn.CONCAT(A198,D198,LEFT(G198,10))</f>
        <v>DIFUSORA46022TENDA ATAC</v>
      </c>
      <c r="F198" s="2" t="e">
        <f aca="false">VLOOKUP(E198,#REF!,1,0)</f>
        <v>#VALUE!</v>
      </c>
      <c r="G198" s="5" t="s">
        <v>318</v>
      </c>
      <c r="H198" s="8" t="n">
        <v>7668</v>
      </c>
      <c r="I198" s="8" t="n">
        <v>6134.4</v>
      </c>
      <c r="J198" s="9"/>
      <c r="K198" s="9" t="s">
        <v>155</v>
      </c>
      <c r="M198" s="9" t="s">
        <v>319</v>
      </c>
      <c r="N198" s="1" t="str">
        <f aca="false">IFERROR(I198/L198,"-")</f>
        <v>-</v>
      </c>
    </row>
    <row r="199" customFormat="false" ht="13.8" hidden="false" customHeight="false" outlineLevel="0" collapsed="false">
      <c r="A199" s="10" t="s">
        <v>335</v>
      </c>
      <c r="B199" s="6" t="n">
        <v>45748</v>
      </c>
      <c r="C199" s="7" t="n">
        <v>45743</v>
      </c>
      <c r="D199" s="7" t="n">
        <v>46022</v>
      </c>
      <c r="E199" s="2" t="str">
        <f aca="false">_xlfn.CONCAT(A199,D199,LEFT(G199,10))</f>
        <v>TH+46022TENDA ATAC</v>
      </c>
      <c r="F199" s="2" t="e">
        <f aca="false">VLOOKUP(E199,#REF!,1,0)</f>
        <v>#VALUE!</v>
      </c>
      <c r="G199" s="5" t="s">
        <v>318</v>
      </c>
      <c r="H199" s="8" t="n">
        <v>14803.5</v>
      </c>
      <c r="I199" s="8" t="n">
        <v>11842.8</v>
      </c>
      <c r="J199" s="9"/>
      <c r="K199" s="9" t="s">
        <v>217</v>
      </c>
      <c r="M199" s="9" t="s">
        <v>319</v>
      </c>
      <c r="N199" s="1" t="str">
        <f aca="false">IFERROR(I199/L199,"-")</f>
        <v>-</v>
      </c>
    </row>
    <row r="200" customFormat="false" ht="13.8" hidden="false" customHeight="false" outlineLevel="0" collapsed="false">
      <c r="A200" s="5" t="s">
        <v>158</v>
      </c>
      <c r="B200" s="6" t="n">
        <v>45778</v>
      </c>
      <c r="C200" s="11" t="n">
        <v>45722</v>
      </c>
      <c r="D200" s="11" t="n">
        <v>46022</v>
      </c>
      <c r="E200" s="2" t="str">
        <f aca="false">_xlfn.CONCAT(A200,D200,LEFT(G200,10))</f>
        <v>ASSOCIAÇÃO DE ENG. ARQ. RIB PRETO46022ASSOCIAÇÃO</v>
      </c>
      <c r="F200" s="2" t="e">
        <f aca="false">VLOOKUP(E200,#REF!,1,0)</f>
        <v>#VALUE!</v>
      </c>
      <c r="G200" s="5" t="s">
        <v>158</v>
      </c>
      <c r="H200" s="8" t="n">
        <v>3334</v>
      </c>
      <c r="I200" s="8" t="n">
        <v>3334</v>
      </c>
      <c r="J200" s="9"/>
      <c r="K200" s="1" t="s">
        <v>171</v>
      </c>
      <c r="L200" s="12" t="n">
        <v>50</v>
      </c>
      <c r="N200" s="1" t="n">
        <f aca="false">IFERROR(I200/L200,"-")</f>
        <v>66.68</v>
      </c>
    </row>
    <row r="201" customFormat="false" ht="13.8" hidden="false" customHeight="false" outlineLevel="0" collapsed="false">
      <c r="A201" s="5" t="s">
        <v>207</v>
      </c>
      <c r="B201" s="6" t="n">
        <v>45778</v>
      </c>
      <c r="C201" s="11" t="n">
        <v>45729</v>
      </c>
      <c r="D201" s="11" t="n">
        <v>46022</v>
      </c>
      <c r="E201" s="2" t="str">
        <f aca="false">_xlfn.CONCAT(A201,D201,LEFT(G201,10))</f>
        <v>INDUSTRIA DE MASSAS ALIMENTICIAS46022INDUSTRIA </v>
      </c>
      <c r="F201" s="2" t="e">
        <f aca="false">VLOOKUP(E201,#REF!,1,0)</f>
        <v>#VALUE!</v>
      </c>
      <c r="G201" s="5" t="s">
        <v>207</v>
      </c>
      <c r="H201" s="8" t="n">
        <v>2940</v>
      </c>
      <c r="I201" s="8" t="n">
        <v>2940</v>
      </c>
      <c r="J201" s="9"/>
      <c r="K201" s="1" t="s">
        <v>152</v>
      </c>
      <c r="L201" s="12"/>
      <c r="M201" s="1" t="s">
        <v>208</v>
      </c>
      <c r="N201" s="1" t="str">
        <f aca="false">IFERROR(I201/L201,"-")</f>
        <v>-</v>
      </c>
    </row>
    <row r="202" customFormat="false" ht="13.8" hidden="false" customHeight="false" outlineLevel="0" collapsed="false">
      <c r="A202" s="5" t="s">
        <v>320</v>
      </c>
      <c r="B202" s="6" t="n">
        <v>45778</v>
      </c>
      <c r="C202" s="11" t="n">
        <v>45721</v>
      </c>
      <c r="D202" s="11" t="n">
        <v>46022</v>
      </c>
      <c r="E202" s="2" t="str">
        <f aca="false">_xlfn.CONCAT(A202,D202,LEFT(G202,10))</f>
        <v>RAFAEL ANANIAS &amp; CIA LTDA46022RAFAEL ANA</v>
      </c>
      <c r="F202" s="2" t="e">
        <f aca="false">VLOOKUP(E202,#REF!,1,0)</f>
        <v>#VALUE!</v>
      </c>
      <c r="G202" s="5" t="s">
        <v>320</v>
      </c>
      <c r="H202" s="8" t="n">
        <v>3375</v>
      </c>
      <c r="I202" s="8" t="n">
        <v>2700</v>
      </c>
      <c r="J202" s="9"/>
      <c r="K202" s="1" t="s">
        <v>155</v>
      </c>
      <c r="L202" s="12" t="n">
        <v>125</v>
      </c>
      <c r="M202" s="1" t="s">
        <v>321</v>
      </c>
      <c r="N202" s="1" t="n">
        <f aca="false">IFERROR(I202/L202,"-")</f>
        <v>21.6</v>
      </c>
    </row>
    <row r="203" customFormat="false" ht="13.8" hidden="false" customHeight="false" outlineLevel="0" collapsed="false">
      <c r="A203" s="5" t="s">
        <v>300</v>
      </c>
      <c r="B203" s="6" t="n">
        <v>45778</v>
      </c>
      <c r="C203" s="11" t="n">
        <v>45635</v>
      </c>
      <c r="D203" s="11" t="n">
        <v>46022</v>
      </c>
      <c r="E203" s="2" t="str">
        <f aca="false">_xlfn.CONCAT(A203,D203,LEFT(G203,10))</f>
        <v>SINDICATO DOS SERVIDORES MUNICIPAIS46022SINDICATO </v>
      </c>
      <c r="F203" s="2" t="e">
        <f aca="false">VLOOKUP(E203,#REF!,1,0)</f>
        <v>#VALUE!</v>
      </c>
      <c r="G203" s="5" t="s">
        <v>300</v>
      </c>
      <c r="H203" s="8" t="n">
        <v>2500</v>
      </c>
      <c r="I203" s="8" t="n">
        <v>2500</v>
      </c>
      <c r="J203" s="9"/>
      <c r="L203" s="12" t="n">
        <v>22</v>
      </c>
      <c r="N203" s="1" t="n">
        <f aca="false">IFERROR(I203/L203,"-")</f>
        <v>113.636363636364</v>
      </c>
    </row>
    <row r="204" customFormat="false" ht="13.8" hidden="false" customHeight="false" outlineLevel="0" collapsed="false">
      <c r="A204" s="5" t="s">
        <v>318</v>
      </c>
      <c r="B204" s="6" t="n">
        <v>45778</v>
      </c>
      <c r="C204" s="11" t="n">
        <v>45678</v>
      </c>
      <c r="D204" s="11" t="n">
        <v>46022</v>
      </c>
      <c r="E204" s="2" t="str">
        <f aca="false">_xlfn.CONCAT(A204,D204,LEFT(G204,10))</f>
        <v>TENDA ATACADO S.A.46022TENDA ATAC</v>
      </c>
      <c r="F204" s="2" t="e">
        <f aca="false">VLOOKUP(E204,#REF!,1,0)</f>
        <v>#VALUE!</v>
      </c>
      <c r="G204" s="5" t="s">
        <v>318</v>
      </c>
      <c r="H204" s="8" t="n">
        <v>14803.5</v>
      </c>
      <c r="I204" s="8" t="n">
        <v>11842.8</v>
      </c>
      <c r="J204" s="9"/>
      <c r="K204" s="1" t="s">
        <v>217</v>
      </c>
      <c r="L204" s="12" t="n">
        <v>44</v>
      </c>
      <c r="M204" s="1" t="s">
        <v>319</v>
      </c>
      <c r="N204" s="1" t="n">
        <f aca="false">IFERROR(I204/L204,"-")</f>
        <v>269.154545454545</v>
      </c>
    </row>
    <row r="205" customFormat="false" ht="13.8" hidden="false" customHeight="false" outlineLevel="0" collapsed="false">
      <c r="A205" s="5" t="s">
        <v>318</v>
      </c>
      <c r="B205" s="6" t="n">
        <v>45778</v>
      </c>
      <c r="C205" s="11" t="n">
        <v>45681</v>
      </c>
      <c r="D205" s="11" t="n">
        <v>46022</v>
      </c>
      <c r="E205" s="2" t="str">
        <f aca="false">_xlfn.CONCAT(A205,D205,LEFT(G205,10))</f>
        <v>TENDA ATACADO S.A.46022TENDA ATAC</v>
      </c>
      <c r="F205" s="2" t="e">
        <f aca="false">VLOOKUP(E205,#REF!,1,0)</f>
        <v>#VALUE!</v>
      </c>
      <c r="G205" s="5" t="s">
        <v>318</v>
      </c>
      <c r="H205" s="8" t="n">
        <v>8466.75</v>
      </c>
      <c r="I205" s="8" t="n">
        <v>6773.4</v>
      </c>
      <c r="J205" s="9"/>
      <c r="K205" s="1" t="s">
        <v>155</v>
      </c>
      <c r="L205" s="12" t="n">
        <v>159</v>
      </c>
      <c r="M205" s="1" t="s">
        <v>319</v>
      </c>
      <c r="N205" s="1" t="n">
        <f aca="false">IFERROR(I205/L205,"-")</f>
        <v>42.6</v>
      </c>
    </row>
    <row r="206" customFormat="false" ht="13.8" hidden="false" customHeight="false" outlineLevel="0" collapsed="false">
      <c r="A206" s="10" t="s">
        <v>335</v>
      </c>
      <c r="B206" s="6" t="n">
        <v>45748</v>
      </c>
      <c r="C206" s="7" t="n">
        <v>45756</v>
      </c>
      <c r="D206" s="7" t="n">
        <v>46030</v>
      </c>
      <c r="E206" s="2" t="str">
        <f aca="false">_xlfn.CONCAT(A206,D206,LEFT(G206,10))</f>
        <v>TH+46030I-NOVA RIB</v>
      </c>
      <c r="F206" s="2" t="e">
        <f aca="false">VLOOKUP(E206,#REF!,1,0)</f>
        <v>#VALUE!</v>
      </c>
      <c r="G206" s="5" t="s">
        <v>322</v>
      </c>
      <c r="H206" s="8" t="n">
        <v>700</v>
      </c>
      <c r="I206" s="8" t="n">
        <v>700</v>
      </c>
      <c r="J206" s="9"/>
      <c r="K206" s="9"/>
      <c r="M206" s="9"/>
      <c r="N206" s="1" t="str">
        <f aca="false">IFERROR(I206/L206,"-")</f>
        <v>-</v>
      </c>
    </row>
    <row r="207" customFormat="false" ht="13.8" hidden="false" customHeight="false" outlineLevel="0" collapsed="false">
      <c r="A207" s="5" t="s">
        <v>322</v>
      </c>
      <c r="B207" s="6" t="n">
        <v>45778</v>
      </c>
      <c r="C207" s="11" t="n">
        <v>45756</v>
      </c>
      <c r="D207" s="11" t="n">
        <v>46030</v>
      </c>
      <c r="E207" s="2" t="str">
        <f aca="false">_xlfn.CONCAT(A207,D207,LEFT(G207,10))</f>
        <v>I-NOVA RIBEIRÃO PRETO COMERCIO DE AUTO46030I-NOVA RIB</v>
      </c>
      <c r="F207" s="2" t="e">
        <f aca="false">VLOOKUP(E207,#REF!,1,0)</f>
        <v>#VALUE!</v>
      </c>
      <c r="G207" s="5" t="s">
        <v>322</v>
      </c>
      <c r="H207" s="8" t="n">
        <v>700</v>
      </c>
      <c r="I207" s="8" t="n">
        <v>700</v>
      </c>
      <c r="J207" s="9"/>
      <c r="L207" s="12" t="n">
        <v>22</v>
      </c>
      <c r="N207" s="1" t="n">
        <f aca="false">IFERROR(I207/L207,"-")</f>
        <v>31.8181818181818</v>
      </c>
    </row>
    <row r="208" customFormat="false" ht="13.8" hidden="false" customHeight="false" outlineLevel="0" collapsed="false">
      <c r="A208" s="5" t="s">
        <v>323</v>
      </c>
      <c r="B208" s="6" t="n">
        <v>45778</v>
      </c>
      <c r="C208" s="11" t="n">
        <v>45796</v>
      </c>
      <c r="D208" s="11" t="n">
        <v>46040</v>
      </c>
      <c r="E208" s="2" t="str">
        <f aca="false">_xlfn.CONCAT(A208,D208,LEFT(G208,10))</f>
        <v>FERNANDO CESAR ROSADO46040FERNANDO C</v>
      </c>
      <c r="F208" s="2" t="e">
        <f aca="false">VLOOKUP(E208,#REF!,1,0)</f>
        <v>#VALUE!</v>
      </c>
      <c r="G208" s="5" t="s">
        <v>323</v>
      </c>
      <c r="H208" s="8" t="n">
        <v>750</v>
      </c>
      <c r="I208" s="8" t="n">
        <v>750</v>
      </c>
      <c r="J208" s="9"/>
      <c r="L208" s="12" t="n">
        <v>11</v>
      </c>
      <c r="N208" s="1" t="n">
        <f aca="false">IFERROR(I208/L208,"-")</f>
        <v>68.1818181818182</v>
      </c>
    </row>
    <row r="209" customFormat="false" ht="13.8" hidden="false" customHeight="false" outlineLevel="0" collapsed="false">
      <c r="A209" s="10" t="s">
        <v>337</v>
      </c>
      <c r="B209" s="6" t="n">
        <v>45748</v>
      </c>
      <c r="C209" s="7" t="n">
        <v>45743</v>
      </c>
      <c r="D209" s="7" t="n">
        <v>46097</v>
      </c>
      <c r="E209" s="2" t="str">
        <f aca="false">_xlfn.CONCAT(A209,D209,LEFT(G209,10))</f>
        <v>TH+ IN46097SOCIEDADE </v>
      </c>
      <c r="F209" s="2" t="e">
        <f aca="false">VLOOKUP(E209,#REF!,1,0)</f>
        <v>#VALUE!</v>
      </c>
      <c r="G209" s="5" t="s">
        <v>324</v>
      </c>
      <c r="H209" s="8" t="n">
        <v>3195</v>
      </c>
      <c r="I209" s="8" t="n">
        <v>3195</v>
      </c>
      <c r="J209" s="9"/>
      <c r="K209" s="9"/>
      <c r="M209" s="9"/>
      <c r="N209" s="1" t="str">
        <f aca="false">IFERROR(I209/L209,"-")</f>
        <v>-</v>
      </c>
    </row>
    <row r="210" customFormat="false" ht="13.8" hidden="false" customHeight="false" outlineLevel="0" collapsed="false">
      <c r="A210" s="5" t="s">
        <v>324</v>
      </c>
      <c r="B210" s="6" t="n">
        <v>45778</v>
      </c>
      <c r="C210" s="11" t="n">
        <v>45679</v>
      </c>
      <c r="D210" s="11" t="n">
        <v>46097</v>
      </c>
      <c r="E210" s="2" t="str">
        <f aca="false">_xlfn.CONCAT(A210,D210,LEFT(G210,10))</f>
        <v>SOCIEDADE ESPIRITA ALLAN KARDEC46097SOCIEDADE </v>
      </c>
      <c r="F210" s="2" t="e">
        <f aca="false">VLOOKUP(E210,#REF!,1,0)</f>
        <v>#VALUE!</v>
      </c>
      <c r="G210" s="5" t="s">
        <v>324</v>
      </c>
      <c r="H210" s="8" t="n">
        <v>3195</v>
      </c>
      <c r="I210" s="8" t="n">
        <v>3195</v>
      </c>
      <c r="J210" s="9"/>
      <c r="L210" s="17" t="n">
        <v>4</v>
      </c>
      <c r="N210" s="1" t="n">
        <f aca="false">IFERROR(I210/L210,"-")</f>
        <v>798.75</v>
      </c>
    </row>
    <row r="211" customFormat="false" ht="13.8" hidden="false" customHeight="false" outlineLevel="0" collapsed="false">
      <c r="A211" s="10" t="s">
        <v>335</v>
      </c>
      <c r="B211" s="6" t="n">
        <v>45748</v>
      </c>
      <c r="C211" s="7" t="n">
        <v>45772</v>
      </c>
      <c r="D211" s="7" t="n">
        <v>46136</v>
      </c>
      <c r="E211" s="2" t="str">
        <f aca="false">_xlfn.CONCAT(A211,D211,LEFT(G211,10))</f>
        <v>TH+46136REGINA RIR</v>
      </c>
      <c r="F211" s="2" t="e">
        <f aca="false">VLOOKUP(E211,#REF!,1,0)</f>
        <v>#VALUE!</v>
      </c>
      <c r="G211" s="5" t="s">
        <v>325</v>
      </c>
      <c r="H211" s="8" t="n">
        <v>1000</v>
      </c>
      <c r="I211" s="8" t="n">
        <v>1000</v>
      </c>
      <c r="J211" s="9"/>
      <c r="K211" s="9" t="s">
        <v>217</v>
      </c>
      <c r="M211" s="9"/>
      <c r="N211" s="1" t="str">
        <f aca="false">IFERROR(I211/L211,"-")</f>
        <v>-</v>
      </c>
    </row>
    <row r="212" customFormat="false" ht="13.8" hidden="false" customHeight="false" outlineLevel="0" collapsed="false">
      <c r="A212" s="10" t="s">
        <v>335</v>
      </c>
      <c r="B212" s="6" t="n">
        <v>45748</v>
      </c>
      <c r="C212" s="7" t="n">
        <v>45772</v>
      </c>
      <c r="D212" s="7" t="n">
        <v>46136</v>
      </c>
      <c r="E212" s="2" t="str">
        <f aca="false">_xlfn.CONCAT(A212,D212,LEFT(G212,10))</f>
        <v>TH+46136REGINA RIR</v>
      </c>
      <c r="F212" s="2" t="e">
        <f aca="false">VLOOKUP(E212,#REF!,1,0)</f>
        <v>#VALUE!</v>
      </c>
      <c r="G212" s="5" t="s">
        <v>325</v>
      </c>
      <c r="H212" s="8" t="n">
        <v>1000</v>
      </c>
      <c r="I212" s="8" t="n">
        <v>1000</v>
      </c>
      <c r="J212" s="9"/>
      <c r="K212" s="9" t="s">
        <v>217</v>
      </c>
      <c r="M212" s="9"/>
      <c r="N212" s="1" t="str">
        <f aca="false">IFERROR(I212/L212,"-")</f>
        <v>-</v>
      </c>
    </row>
    <row r="213" customFormat="false" ht="13.8" hidden="false" customHeight="false" outlineLevel="0" collapsed="false">
      <c r="A213" s="5" t="s">
        <v>325</v>
      </c>
      <c r="B213" s="6" t="n">
        <v>45778</v>
      </c>
      <c r="C213" s="11" t="n">
        <v>45772</v>
      </c>
      <c r="D213" s="11" t="n">
        <v>46136</v>
      </c>
      <c r="E213" s="2" t="str">
        <f aca="false">_xlfn.CONCAT(A213,D213,LEFT(G213,10))</f>
        <v>REGINA RIROKO HATANO KOGAWA46136REGINA RIR</v>
      </c>
      <c r="F213" s="2" t="e">
        <f aca="false">VLOOKUP(E213,#REF!,1,0)</f>
        <v>#VALUE!</v>
      </c>
      <c r="G213" s="5" t="s">
        <v>325</v>
      </c>
      <c r="H213" s="8" t="n">
        <v>1000</v>
      </c>
      <c r="I213" s="8" t="n">
        <v>1000</v>
      </c>
      <c r="J213" s="9"/>
      <c r="K213" s="1" t="s">
        <v>217</v>
      </c>
      <c r="L213" s="12" t="n">
        <v>2</v>
      </c>
      <c r="N213" s="1" t="n">
        <f aca="false">IFERROR(I213/L213,"-")</f>
        <v>500</v>
      </c>
    </row>
    <row r="214" customFormat="false" ht="13.8" hidden="false" customHeight="false" outlineLevel="0" collapsed="false">
      <c r="A214" s="5" t="s">
        <v>325</v>
      </c>
      <c r="B214" s="6" t="n">
        <v>45778</v>
      </c>
      <c r="C214" s="11" t="n">
        <v>45772</v>
      </c>
      <c r="D214" s="11" t="n">
        <v>46136</v>
      </c>
      <c r="E214" s="2" t="str">
        <f aca="false">_xlfn.CONCAT(A214,D214,LEFT(G214,10))</f>
        <v>REGINA RIROKO HATANO KOGAWA46136REGINA RIR</v>
      </c>
      <c r="F214" s="2" t="e">
        <f aca="false">VLOOKUP(E214,#REF!,1,0)</f>
        <v>#VALUE!</v>
      </c>
      <c r="G214" s="5" t="s">
        <v>325</v>
      </c>
      <c r="H214" s="8" t="n">
        <v>1000</v>
      </c>
      <c r="I214" s="8" t="n">
        <v>1000</v>
      </c>
      <c r="J214" s="9"/>
      <c r="K214" s="1" t="s">
        <v>217</v>
      </c>
      <c r="L214" s="12" t="n">
        <v>2</v>
      </c>
      <c r="N214" s="1" t="n">
        <f aca="false">IFERROR(I214/L214,"-")</f>
        <v>500</v>
      </c>
    </row>
    <row r="215" customFormat="false" ht="13.8" hidden="false" customHeight="false" outlineLevel="0" collapsed="false">
      <c r="A215" s="10" t="s">
        <v>335</v>
      </c>
      <c r="B215" s="6" t="n">
        <v>45748</v>
      </c>
      <c r="C215" s="7" t="n">
        <v>45775</v>
      </c>
      <c r="D215" s="7" t="n">
        <v>46140</v>
      </c>
      <c r="E215" s="2" t="str">
        <f aca="false">_xlfn.CONCAT(A215,D215,LEFT(G215,10))</f>
        <v>TH+46140KADO COMÉR</v>
      </c>
      <c r="F215" s="2" t="e">
        <f aca="false">VLOOKUP(E215,#REF!,1,0)</f>
        <v>#VALUE!</v>
      </c>
      <c r="G215" s="5" t="s">
        <v>326</v>
      </c>
      <c r="H215" s="8" t="n">
        <v>2000</v>
      </c>
      <c r="I215" s="8" t="n">
        <v>2000</v>
      </c>
      <c r="J215" s="9"/>
      <c r="K215" s="9" t="s">
        <v>327</v>
      </c>
      <c r="M215" s="9"/>
      <c r="N215" s="1" t="str">
        <f aca="false">IFERROR(I215/L215,"-")</f>
        <v>-</v>
      </c>
    </row>
    <row r="216" customFormat="false" ht="13.8" hidden="false" customHeight="false" outlineLevel="0" collapsed="false">
      <c r="A216" s="10" t="s">
        <v>334</v>
      </c>
      <c r="B216" s="6" t="n">
        <v>45748</v>
      </c>
      <c r="C216" s="7" t="n">
        <v>45775</v>
      </c>
      <c r="D216" s="7" t="n">
        <v>46140</v>
      </c>
      <c r="E216" s="2" t="str">
        <f aca="false">_xlfn.CONCAT(A216,D216,LEFT(G216,10))</f>
        <v>NOVA BRASIL46140KADO COMÉR</v>
      </c>
      <c r="F216" s="2" t="e">
        <f aca="false">VLOOKUP(E216,#REF!,1,0)</f>
        <v>#VALUE!</v>
      </c>
      <c r="G216" s="5" t="s">
        <v>326</v>
      </c>
      <c r="H216" s="8" t="n">
        <v>1000</v>
      </c>
      <c r="I216" s="8" t="n">
        <v>1000</v>
      </c>
      <c r="J216" s="9"/>
      <c r="K216" s="9" t="s">
        <v>328</v>
      </c>
      <c r="M216" s="9"/>
      <c r="N216" s="1" t="str">
        <f aca="false">IFERROR(I216/L216,"-")</f>
        <v>-</v>
      </c>
    </row>
    <row r="217" customFormat="false" ht="13.8" hidden="false" customHeight="false" outlineLevel="0" collapsed="false">
      <c r="A217" s="10" t="s">
        <v>338</v>
      </c>
      <c r="B217" s="6" t="n">
        <v>45748</v>
      </c>
      <c r="C217" s="7" t="n">
        <v>45775</v>
      </c>
      <c r="D217" s="7" t="n">
        <v>46140</v>
      </c>
      <c r="E217" s="2" t="str">
        <f aca="false">_xlfn.CONCAT(A217,D217,LEFT(G217,10))</f>
        <v>PORTAL46140KADO COMÉR</v>
      </c>
      <c r="F217" s="2" t="e">
        <f aca="false">VLOOKUP(E217,#REF!,1,0)</f>
        <v>#VALUE!</v>
      </c>
      <c r="G217" s="5" t="s">
        <v>326</v>
      </c>
      <c r="H217" s="8" t="n">
        <v>999</v>
      </c>
      <c r="I217" s="8" t="n">
        <v>999</v>
      </c>
      <c r="J217" s="9"/>
      <c r="K217" s="9" t="s">
        <v>329</v>
      </c>
      <c r="M217" s="9"/>
      <c r="N217" s="1" t="str">
        <f aca="false">IFERROR(I217/L217,"-")</f>
        <v>-</v>
      </c>
    </row>
    <row r="218" customFormat="false" ht="13.8" hidden="false" customHeight="false" outlineLevel="0" collapsed="false">
      <c r="A218" s="10" t="s">
        <v>12</v>
      </c>
      <c r="B218" s="6" t="n">
        <v>45748</v>
      </c>
      <c r="C218" s="7" t="n">
        <v>45775</v>
      </c>
      <c r="D218" s="7" t="n">
        <v>46140</v>
      </c>
      <c r="E218" s="2" t="str">
        <f aca="false">_xlfn.CONCAT(A218,D218,LEFT(G218,10))</f>
        <v>DIFUSORA46140KADO COMÉR</v>
      </c>
      <c r="F218" s="2" t="e">
        <f aca="false">VLOOKUP(E218,#REF!,1,0)</f>
        <v>#VALUE!</v>
      </c>
      <c r="G218" s="5" t="s">
        <v>326</v>
      </c>
      <c r="H218" s="8" t="n">
        <v>1000</v>
      </c>
      <c r="I218" s="8" t="n">
        <v>1000</v>
      </c>
      <c r="J218" s="9"/>
      <c r="K218" s="9" t="s">
        <v>291</v>
      </c>
      <c r="M218" s="9"/>
      <c r="N218" s="1" t="str">
        <f aca="false">IFERROR(I218/L218,"-")</f>
        <v>-</v>
      </c>
    </row>
    <row r="219" customFormat="false" ht="13.8" hidden="false" customHeight="false" outlineLevel="0" collapsed="false">
      <c r="A219" s="5" t="s">
        <v>326</v>
      </c>
      <c r="B219" s="6" t="n">
        <v>45778</v>
      </c>
      <c r="C219" s="11" t="n">
        <v>45775</v>
      </c>
      <c r="D219" s="11" t="n">
        <v>46140</v>
      </c>
      <c r="E219" s="2" t="str">
        <f aca="false">_xlfn.CONCAT(A219,D219,LEFT(G219,10))</f>
        <v>KADO COMÉRCIO DE APARELHOS AUDITIVOS46140KADO COMÉR</v>
      </c>
      <c r="F219" s="2" t="e">
        <f aca="false">VLOOKUP(E219,#REF!,1,0)</f>
        <v>#VALUE!</v>
      </c>
      <c r="G219" s="5" t="s">
        <v>326</v>
      </c>
      <c r="H219" s="8" t="n">
        <v>2000</v>
      </c>
      <c r="I219" s="8" t="n">
        <v>2000</v>
      </c>
      <c r="J219" s="9"/>
      <c r="K219" s="1" t="s">
        <v>327</v>
      </c>
      <c r="L219" s="12" t="n">
        <v>80</v>
      </c>
      <c r="N219" s="1" t="n">
        <f aca="false">IFERROR(I219/L219,"-")</f>
        <v>25</v>
      </c>
    </row>
    <row r="220" customFormat="false" ht="13.8" hidden="false" customHeight="false" outlineLevel="0" collapsed="false">
      <c r="A220" s="5" t="s">
        <v>326</v>
      </c>
      <c r="B220" s="6" t="n">
        <v>45778</v>
      </c>
      <c r="C220" s="11" t="n">
        <v>45775</v>
      </c>
      <c r="D220" s="11" t="n">
        <v>46140</v>
      </c>
      <c r="E220" s="2" t="str">
        <f aca="false">_xlfn.CONCAT(A220,D220,LEFT(G220,10))</f>
        <v>KADO COMÉRCIO DE APARELHOS AUDITIVOS46140KADO COMÉR</v>
      </c>
      <c r="F220" s="2" t="e">
        <f aca="false">VLOOKUP(E220,#REF!,1,0)</f>
        <v>#VALUE!</v>
      </c>
      <c r="G220" s="5" t="s">
        <v>326</v>
      </c>
      <c r="H220" s="8" t="n">
        <v>1000</v>
      </c>
      <c r="I220" s="8" t="n">
        <v>1000</v>
      </c>
      <c r="J220" s="9"/>
      <c r="K220" s="1" t="s">
        <v>328</v>
      </c>
      <c r="L220" s="12" t="n">
        <v>80</v>
      </c>
      <c r="N220" s="1" t="n">
        <f aca="false">IFERROR(I220/L220,"-")</f>
        <v>12.5</v>
      </c>
    </row>
    <row r="221" customFormat="false" ht="13.8" hidden="false" customHeight="false" outlineLevel="0" collapsed="false">
      <c r="A221" s="5" t="s">
        <v>326</v>
      </c>
      <c r="B221" s="6" t="n">
        <v>45778</v>
      </c>
      <c r="C221" s="11" t="n">
        <v>45775</v>
      </c>
      <c r="D221" s="11" t="n">
        <v>46140</v>
      </c>
      <c r="E221" s="2" t="str">
        <f aca="false">_xlfn.CONCAT(A221,D221,LEFT(G221,10))</f>
        <v>KADO COMÉRCIO DE APARELHOS AUDITIVOS46140KADO COMÉR</v>
      </c>
      <c r="F221" s="2" t="e">
        <f aca="false">VLOOKUP(E221,#REF!,1,0)</f>
        <v>#VALUE!</v>
      </c>
      <c r="G221" s="5" t="s">
        <v>326</v>
      </c>
      <c r="H221" s="8" t="n">
        <v>999</v>
      </c>
      <c r="I221" s="8" t="n">
        <v>999</v>
      </c>
      <c r="J221" s="9"/>
      <c r="K221" s="1" t="s">
        <v>329</v>
      </c>
      <c r="L221" s="12"/>
      <c r="N221" s="1" t="str">
        <f aca="false">IFERROR(I221/L221,"-")</f>
        <v>-</v>
      </c>
    </row>
    <row r="222" customFormat="false" ht="13.8" hidden="false" customHeight="false" outlineLevel="0" collapsed="false">
      <c r="A222" s="5" t="s">
        <v>326</v>
      </c>
      <c r="B222" s="6" t="n">
        <v>45778</v>
      </c>
      <c r="C222" s="11" t="n">
        <v>45775</v>
      </c>
      <c r="D222" s="11" t="n">
        <v>46140</v>
      </c>
      <c r="E222" s="2" t="str">
        <f aca="false">_xlfn.CONCAT(A222,D222,LEFT(G222,10))</f>
        <v>KADO COMÉRCIO DE APARELHOS AUDITIVOS46140KADO COMÉR</v>
      </c>
      <c r="F222" s="2" t="e">
        <f aca="false">VLOOKUP(E222,#REF!,1,0)</f>
        <v>#VALUE!</v>
      </c>
      <c r="G222" s="5" t="s">
        <v>326</v>
      </c>
      <c r="H222" s="8" t="n">
        <v>1000</v>
      </c>
      <c r="I222" s="8" t="n">
        <v>1000</v>
      </c>
      <c r="J222" s="9"/>
      <c r="K222" s="1" t="s">
        <v>291</v>
      </c>
      <c r="L222" s="12" t="n">
        <v>80</v>
      </c>
      <c r="N222" s="1" t="n">
        <f aca="false">IFERROR(I222/L222,"-")</f>
        <v>12.5</v>
      </c>
    </row>
    <row r="223" customFormat="false" ht="13.8" hidden="false" customHeight="false" outlineLevel="0" collapsed="false">
      <c r="A223" s="5" t="s">
        <v>196</v>
      </c>
      <c r="B223" s="6" t="n">
        <v>45778</v>
      </c>
      <c r="C223" s="11" t="n">
        <v>45743</v>
      </c>
      <c r="D223" s="11" t="n">
        <v>46142</v>
      </c>
      <c r="E223" s="2" t="str">
        <f aca="false">_xlfn.CONCAT(A223,D223,LEFT(G223,10))</f>
        <v>COOPERATIVA CENTRAL DE CREDIT46142COOPERATIV</v>
      </c>
      <c r="F223" s="2" t="e">
        <f aca="false">VLOOKUP(E223,#REF!,1,0)</f>
        <v>#VALUE!</v>
      </c>
      <c r="G223" s="5" t="s">
        <v>196</v>
      </c>
      <c r="H223" s="8" t="n">
        <v>7089</v>
      </c>
      <c r="I223" s="8" t="n">
        <v>5671.2</v>
      </c>
      <c r="J223" s="9"/>
      <c r="L223" s="12" t="n">
        <v>88</v>
      </c>
      <c r="M223" s="1" t="s">
        <v>197</v>
      </c>
      <c r="N223" s="1" t="n">
        <f aca="false">IFERROR(I223/L223,"-")</f>
        <v>64.4454545454545</v>
      </c>
    </row>
    <row r="224" customFormat="false" ht="13.8" hidden="false" customHeight="false" outlineLevel="0" collapsed="false">
      <c r="A224" s="5" t="s">
        <v>196</v>
      </c>
      <c r="B224" s="6" t="n">
        <v>45778</v>
      </c>
      <c r="C224" s="11" t="n">
        <v>45743</v>
      </c>
      <c r="D224" s="11" t="n">
        <v>46142</v>
      </c>
      <c r="E224" s="2" t="str">
        <f aca="false">_xlfn.CONCAT(A224,D224,LEFT(G224,10))</f>
        <v>COOPERATIVA CENTRAL DE CREDIT46142COOPERATIV</v>
      </c>
      <c r="F224" s="2" t="e">
        <f aca="false">VLOOKUP(E224,#REF!,1,0)</f>
        <v>#VALUE!</v>
      </c>
      <c r="G224" s="5" t="s">
        <v>196</v>
      </c>
      <c r="H224" s="8" t="n">
        <v>7089</v>
      </c>
      <c r="I224" s="8" t="n">
        <v>5671.2</v>
      </c>
      <c r="J224" s="9"/>
      <c r="L224" s="12" t="n">
        <v>88</v>
      </c>
      <c r="M224" s="1" t="s">
        <v>197</v>
      </c>
      <c r="N224" s="1" t="n">
        <f aca="false">IFERROR(I224/L224,"-")</f>
        <v>64.4454545454545</v>
      </c>
    </row>
    <row r="225" customFormat="false" ht="13.8" hidden="false" customHeight="false" outlineLevel="0" collapsed="false">
      <c r="A225" s="5" t="s">
        <v>330</v>
      </c>
      <c r="B225" s="6" t="n">
        <v>45778</v>
      </c>
      <c r="C225" s="11" t="n">
        <v>45800</v>
      </c>
      <c r="D225" s="11" t="n">
        <v>46142</v>
      </c>
      <c r="E225" s="2" t="str">
        <f aca="false">_xlfn.CONCAT(A225,D225,LEFT(G225,10))</f>
        <v>EMPÓRIO NORTE BRASIL PRODUTOS TIPICOS LTDA46142EMPÓRIO NO</v>
      </c>
      <c r="F225" s="2" t="e">
        <f aca="false">VLOOKUP(E225,#REF!,1,0)</f>
        <v>#VALUE!</v>
      </c>
      <c r="G225" s="5" t="s">
        <v>330</v>
      </c>
      <c r="H225" s="8" t="n">
        <v>1000</v>
      </c>
      <c r="I225" s="8" t="n">
        <v>1000</v>
      </c>
      <c r="J225" s="9"/>
      <c r="L225" s="12" t="n">
        <v>22</v>
      </c>
      <c r="N225" s="1" t="n">
        <f aca="false">IFERROR(I225/L225,"-")</f>
        <v>45.4545454545455</v>
      </c>
    </row>
  </sheetData>
  <autoFilter ref="A1:N225">
    <filterColumn colId="5">
      <filters>
        <filter val="#N/DISP"/>
      </filters>
    </filterColumn>
  </autoFilter>
  <conditionalFormatting sqref="A2:A116 A167:A172 A174:A176 A178:A188 A198 A216">
    <cfRule type="expression" priority="2" aboveAverage="0" equalAverage="0" bottom="0" percent="0" rank="0" text="" dxfId="28">
      <formula>#ref!="PORTAL"</formula>
    </cfRule>
    <cfRule type="expression" priority="3" aboveAverage="0" equalAverage="0" bottom="0" percent="0" rank="0" text="" dxfId="29">
      <formula>#ref!="RÁDIO 79"</formula>
    </cfRule>
    <cfRule type="expression" priority="4" aboveAverage="0" equalAverage="0" bottom="0" percent="0" rank="0" text="" dxfId="30">
      <formula>#ref!="TH+"</formula>
    </cfRule>
    <cfRule type="expression" priority="5" aboveAverage="0" equalAverage="0" bottom="0" percent="0" rank="0" text="" dxfId="31">
      <formula>#ref!="TH+ IN"</formula>
    </cfRule>
    <cfRule type="expression" priority="6" aboveAverage="0" equalAverage="0" bottom="0" percent="0" rank="0" text="" dxfId="32">
      <formula>#ref!="NOVA BRASIL"</formula>
    </cfRule>
    <cfRule type="expression" priority="7" aboveAverage="0" equalAverage="0" bottom="0" percent="0" rank="0" text="" dxfId="33">
      <formula>#ref!="DIFUSORA"</formula>
    </cfRule>
  </conditionalFormatting>
  <conditionalFormatting sqref="A177 A173 A117:A167 A189:A197 A199:A215 A218:A225 C203:C215 D177 C118:D167 C189:D197 D199:D215 C218:D225">
    <cfRule type="expression" priority="8" aboveAverage="0" equalAverage="0" bottom="0" percent="0" rank="0" text="" dxfId="4">
      <formula>#ref!="PORTAL"</formula>
    </cfRule>
    <cfRule type="expression" priority="9" aboveAverage="0" equalAverage="0" bottom="0" percent="0" rank="0" text="" dxfId="5">
      <formula>#ref!="TH+ IN"</formula>
    </cfRule>
    <cfRule type="expression" priority="10" aboveAverage="0" equalAverage="0" bottom="0" percent="0" rank="0" text="" dxfId="6">
      <formula>#ref!="RÁDIO 79"</formula>
    </cfRule>
    <cfRule type="expression" priority="11" aboveAverage="0" equalAverage="0" bottom="0" percent="0" rank="0" text="" dxfId="7">
      <formula>#ref!="TH+"</formula>
    </cfRule>
    <cfRule type="expression" priority="12" aboveAverage="0" equalAverage="0" bottom="0" percent="0" rank="0" text="" dxfId="8">
      <formula>#ref!="NOVA BRASIL"</formula>
    </cfRule>
    <cfRule type="expression" priority="13" aboveAverage="0" equalAverage="0" bottom="0" percent="0" rank="0" text="" dxfId="9">
      <formula>#ref!="DIFUSORA"</formula>
    </cfRule>
  </conditionalFormatting>
  <conditionalFormatting sqref="G2:G116">
    <cfRule type="expression" priority="14" aboveAverage="0" equalAverage="0" bottom="0" percent="0" rank="0" text="" dxfId="34">
      <formula>$D2="PORTAL"</formula>
    </cfRule>
    <cfRule type="expression" priority="15" aboveAverage="0" equalAverage="0" bottom="0" percent="0" rank="0" text="" dxfId="35">
      <formula>$D2="RÁDIO 79"</formula>
    </cfRule>
    <cfRule type="expression" priority="16" aboveAverage="0" equalAverage="0" bottom="0" percent="0" rank="0" text="" dxfId="36">
      <formula>$D2="TH+"</formula>
    </cfRule>
    <cfRule type="expression" priority="17" aboveAverage="0" equalAverage="0" bottom="0" percent="0" rank="0" text="" dxfId="37">
      <formula>$D2="TH+ IN"</formula>
    </cfRule>
    <cfRule type="expression" priority="18" aboveAverage="0" equalAverage="0" bottom="0" percent="0" rank="0" text="" dxfId="38">
      <formula>$D2="NOVA BRASIL"</formula>
    </cfRule>
    <cfRule type="expression" priority="19" aboveAverage="0" equalAverage="0" bottom="0" percent="0" rank="0" text="" dxfId="39">
      <formula>$D2="DIFUSORA"</formula>
    </cfRule>
  </conditionalFormatting>
  <conditionalFormatting sqref="G117">
    <cfRule type="expression" priority="20" aboveAverage="0" equalAverage="0" bottom="0" percent="0" rank="0" text="" dxfId="58">
      <formula>$D117="PORTAL"</formula>
    </cfRule>
    <cfRule type="expression" priority="21" aboveAverage="0" equalAverage="0" bottom="0" percent="0" rank="0" text="" dxfId="59">
      <formula>$D117="TH+ IN"</formula>
    </cfRule>
    <cfRule type="expression" priority="22" aboveAverage="0" equalAverage="0" bottom="0" percent="0" rank="0" text="" dxfId="60">
      <formula>$D117="RÁDIO 79"</formula>
    </cfRule>
    <cfRule type="expression" priority="23" aboveAverage="0" equalAverage="0" bottom="0" percent="0" rank="0" text="" dxfId="61">
      <formula>$D117="TH+"</formula>
    </cfRule>
    <cfRule type="expression" priority="24" aboveAverage="0" equalAverage="0" bottom="0" percent="0" rank="0" text="" dxfId="62">
      <formula>$D117="NOVA BRASIL"</formula>
    </cfRule>
    <cfRule type="expression" priority="25" aboveAverage="0" equalAverage="0" bottom="0" percent="0" rank="0" text="" dxfId="63">
      <formula>$D117="DIFUSORA"</formula>
    </cfRule>
  </conditionalFormatting>
  <conditionalFormatting sqref="J2:J116">
    <cfRule type="expression" priority="26" aboveAverage="0" equalAverage="0" bottom="0" percent="0" rank="0" text="" dxfId="22">
      <formula>$D2="PORTAL"</formula>
    </cfRule>
    <cfRule type="expression" priority="27" aboveAverage="0" equalAverage="0" bottom="0" percent="0" rank="0" text="" dxfId="23">
      <formula>$D2="RÁDIO 79"</formula>
    </cfRule>
    <cfRule type="expression" priority="28" aboveAverage="0" equalAverage="0" bottom="0" percent="0" rank="0" text="" dxfId="24">
      <formula>$D2="TH+"</formula>
    </cfRule>
    <cfRule type="expression" priority="29" aboveAverage="0" equalAverage="0" bottom="0" percent="0" rank="0" text="" dxfId="25">
      <formula>$D2="TH+ IN"</formula>
    </cfRule>
    <cfRule type="expression" priority="30" aboveAverage="0" equalAverage="0" bottom="0" percent="0" rank="0" text="" dxfId="26">
      <formula>$D2="NOVA BRASIL"</formula>
    </cfRule>
    <cfRule type="expression" priority="31" aboveAverage="0" equalAverage="0" bottom="0" percent="0" rank="0" text="" dxfId="27">
      <formula>$D2="DIFUSORA"</formula>
    </cfRule>
  </conditionalFormatting>
  <conditionalFormatting sqref="J117">
    <cfRule type="expression" priority="32" aboveAverage="0" equalAverage="0" bottom="0" percent="0" rank="0" text="" dxfId="64">
      <formula>$D117="PORTAL"</formula>
    </cfRule>
    <cfRule type="expression" priority="33" aboveAverage="0" equalAverage="0" bottom="0" percent="0" rank="0" text="" dxfId="65">
      <formula>$D117="TH+ IN"</formula>
    </cfRule>
    <cfRule type="expression" priority="34" aboveAverage="0" equalAverage="0" bottom="0" percent="0" rank="0" text="" dxfId="66">
      <formula>$D117="RÁDIO 79"</formula>
    </cfRule>
    <cfRule type="expression" priority="35" aboveAverage="0" equalAverage="0" bottom="0" percent="0" rank="0" text="" dxfId="67">
      <formula>$D117="TH+"</formula>
    </cfRule>
    <cfRule type="expression" priority="36" aboveAverage="0" equalAverage="0" bottom="0" percent="0" rank="0" text="" dxfId="68">
      <formula>$D117="NOVA BRASIL"</formula>
    </cfRule>
    <cfRule type="expression" priority="37" aboveAverage="0" equalAverage="0" bottom="0" percent="0" rank="0" text="" dxfId="69">
      <formula>$D117="DIFUSORA"</formula>
    </cfRule>
  </conditionalFormatting>
  <conditionalFormatting sqref="K106:K116 K2:K104">
    <cfRule type="expression" priority="38" aboveAverage="0" equalAverage="0" bottom="0" percent="0" rank="0" text="" dxfId="40">
      <formula>$D2="PORTAL"</formula>
    </cfRule>
    <cfRule type="expression" priority="39" aboveAverage="0" equalAverage="0" bottom="0" percent="0" rank="0" text="" dxfId="41">
      <formula>$D2="RÁDIO 79"</formula>
    </cfRule>
    <cfRule type="expression" priority="40" aboveAverage="0" equalAverage="0" bottom="0" percent="0" rank="0" text="" dxfId="42">
      <formula>$D2="TH+"</formula>
    </cfRule>
    <cfRule type="expression" priority="41" aboveAverage="0" equalAverage="0" bottom="0" percent="0" rank="0" text="" dxfId="43">
      <formula>$D2="TH+ IN"</formula>
    </cfRule>
    <cfRule type="expression" priority="42" aboveAverage="0" equalAverage="0" bottom="0" percent="0" rank="0" text="" dxfId="44">
      <formula>$D2="NOVA BRASIL"</formula>
    </cfRule>
    <cfRule type="expression" priority="43" aboveAverage="0" equalAverage="0" bottom="0" percent="0" rank="0" text="" dxfId="45">
      <formula>$D2="DIFUSORA"</formula>
    </cfRule>
  </conditionalFormatting>
  <conditionalFormatting sqref="K105">
    <cfRule type="expression" priority="44" aboveAverage="0" equalAverage="0" bottom="0" percent="0" rank="0" text="" dxfId="70">
      <formula>$D105="PORTAL"</formula>
    </cfRule>
    <cfRule type="expression" priority="45" aboveAverage="0" equalAverage="0" bottom="0" percent="0" rank="0" text="" dxfId="71">
      <formula>$D105="RÁDIO 79"</formula>
    </cfRule>
    <cfRule type="expression" priority="46" aboveAverage="0" equalAverage="0" bottom="0" percent="0" rank="0" text="" dxfId="72">
      <formula>$D105="TH+"</formula>
    </cfRule>
    <cfRule type="expression" priority="47" aboveAverage="0" equalAverage="0" bottom="0" percent="0" rank="0" text="" dxfId="73">
      <formula>$D105="TH+ IN"</formula>
    </cfRule>
    <cfRule type="expression" priority="48" aboveAverage="0" equalAverage="0" bottom="0" percent="0" rank="0" text="" dxfId="74">
      <formula>$D105="NOVA BRASIL"</formula>
    </cfRule>
    <cfRule type="expression" priority="49" aboveAverage="0" equalAverage="0" bottom="0" percent="0" rank="0" text="" dxfId="75">
      <formula>$D105="DIFUSORA"</formula>
    </cfRule>
  </conditionalFormatting>
  <conditionalFormatting sqref="K117">
    <cfRule type="expression" priority="50" aboveAverage="0" equalAverage="0" bottom="0" percent="0" rank="0" text="" dxfId="76">
      <formula>$D117="PORTAL"</formula>
    </cfRule>
    <cfRule type="expression" priority="51" aboveAverage="0" equalAverage="0" bottom="0" percent="0" rank="0" text="" dxfId="77">
      <formula>$D117="RÁDIO 79"</formula>
    </cfRule>
    <cfRule type="expression" priority="52" aboveAverage="0" equalAverage="0" bottom="0" percent="0" rank="0" text="" dxfId="78">
      <formula>$D117="TH+"</formula>
    </cfRule>
    <cfRule type="expression" priority="53" aboveAverage="0" equalAverage="0" bottom="0" percent="0" rank="0" text="" dxfId="79">
      <formula>$D117="TH+ IN"</formula>
    </cfRule>
    <cfRule type="expression" priority="54" aboveAverage="0" equalAverage="0" bottom="0" percent="0" rank="0" text="" dxfId="80">
      <formula>$D117="NOVA BRASIL"</formula>
    </cfRule>
    <cfRule type="expression" priority="55" aboveAverage="0" equalAverage="0" bottom="0" percent="0" rank="0" text="" dxfId="81">
      <formula>$D117="DIFUSORA"</formula>
    </cfRule>
  </conditionalFormatting>
  <conditionalFormatting sqref="M2:M65 M67:M116">
    <cfRule type="expression" priority="56" aboveAverage="0" equalAverage="0" bottom="0" percent="0" rank="0" text="" dxfId="46">
      <formula>$D2="PORTAL"</formula>
    </cfRule>
    <cfRule type="expression" priority="57" aboveAverage="0" equalAverage="0" bottom="0" percent="0" rank="0" text="" dxfId="47">
      <formula>$D2="RÁDIO 79"</formula>
    </cfRule>
    <cfRule type="expression" priority="58" aboveAverage="0" equalAverage="0" bottom="0" percent="0" rank="0" text="" dxfId="48">
      <formula>$D2="TH+"</formula>
    </cfRule>
    <cfRule type="expression" priority="59" aboveAverage="0" equalAverage="0" bottom="0" percent="0" rank="0" text="" dxfId="49">
      <formula>$D2="TH+ IN"</formula>
    </cfRule>
    <cfRule type="expression" priority="60" aboveAverage="0" equalAverage="0" bottom="0" percent="0" rank="0" text="" dxfId="50">
      <formula>$D2="NOVA BRASIL"</formula>
    </cfRule>
    <cfRule type="expression" priority="61" aboveAverage="0" equalAverage="0" bottom="0" percent="0" rank="0" text="" dxfId="51">
      <formula>$D2="DIFUSORA"</formula>
    </cfRule>
  </conditionalFormatting>
  <conditionalFormatting sqref="M66">
    <cfRule type="expression" priority="62" aboveAverage="0" equalAverage="0" bottom="0" percent="0" rank="0" text="" dxfId="52">
      <formula>$D66="PORTAL"</formula>
    </cfRule>
    <cfRule type="expression" priority="63" aboveAverage="0" equalAverage="0" bottom="0" percent="0" rank="0" text="" dxfId="53">
      <formula>$D66="TH+ IN"</formula>
    </cfRule>
    <cfRule type="expression" priority="64" aboveAverage="0" equalAverage="0" bottom="0" percent="0" rank="0" text="" dxfId="54">
      <formula>$D66="RÁDIO 79"</formula>
    </cfRule>
    <cfRule type="expression" priority="65" aboveAverage="0" equalAverage="0" bottom="0" percent="0" rank="0" text="" dxfId="55">
      <formula>$D66="TH+"</formula>
    </cfRule>
    <cfRule type="expression" priority="66" aboveAverage="0" equalAverage="0" bottom="0" percent="0" rank="0" text="" dxfId="56">
      <formula>$D66="NOVA BRASIL"</formula>
    </cfRule>
    <cfRule type="expression" priority="67" aboveAverage="0" equalAverage="0" bottom="0" percent="0" rank="0" text="" dxfId="57">
      <formula>$D66="DIFUSORA"</formula>
    </cfRule>
  </conditionalFormatting>
  <conditionalFormatting sqref="M117">
    <cfRule type="expression" priority="68" aboveAverage="0" equalAverage="0" bottom="0" percent="0" rank="0" text="" dxfId="82">
      <formula>$D117="PORTAL"</formula>
    </cfRule>
    <cfRule type="expression" priority="69" aboveAverage="0" equalAverage="0" bottom="0" percent="0" rank="0" text="" dxfId="83">
      <formula>$D117="TH+ IN"</formula>
    </cfRule>
    <cfRule type="expression" priority="70" aboveAverage="0" equalAverage="0" bottom="0" percent="0" rank="0" text="" dxfId="84">
      <formula>$D117="RÁDIO 79"</formula>
    </cfRule>
    <cfRule type="expression" priority="71" aboveAverage="0" equalAverage="0" bottom="0" percent="0" rank="0" text="" dxfId="85">
      <formula>$D117="TH+"</formula>
    </cfRule>
    <cfRule type="expression" priority="72" aboveAverage="0" equalAverage="0" bottom="0" percent="0" rank="0" text="" dxfId="86">
      <formula>$D117="NOVA BRASIL"</formula>
    </cfRule>
    <cfRule type="expression" priority="73" aboveAverage="0" equalAverage="0" bottom="0" percent="0" rank="0" text="" dxfId="87">
      <formula>$D117="DIFUSORA"</formula>
    </cfRule>
  </conditionalFormatting>
  <conditionalFormatting sqref="C173">
    <cfRule type="expression" priority="74" aboveAverage="0" equalAverage="0" bottom="0" percent="0" rank="0" text="" dxfId="100">
      <formula>#ref!="PORTAL"</formula>
    </cfRule>
    <cfRule type="expression" priority="75" aboveAverage="0" equalAverage="0" bottom="0" percent="0" rank="0" text="" dxfId="101">
      <formula>#ref!="TH+ IN"</formula>
    </cfRule>
    <cfRule type="expression" priority="76" aboveAverage="0" equalAverage="0" bottom="0" percent="0" rank="0" text="" dxfId="102">
      <formula>#ref!="RÁDIO 79"</formula>
    </cfRule>
    <cfRule type="expression" priority="77" aboveAverage="0" equalAverage="0" bottom="0" percent="0" rank="0" text="" dxfId="103">
      <formula>#ref!="TH+"</formula>
    </cfRule>
    <cfRule type="expression" priority="78" aboveAverage="0" equalAverage="0" bottom="0" percent="0" rank="0" text="" dxfId="104">
      <formula>#ref!="NOVA BRASIL"</formula>
    </cfRule>
    <cfRule type="expression" priority="79" aboveAverage="0" equalAverage="0" bottom="0" percent="0" rank="0" text="" dxfId="105">
      <formula>#ref!="DIFUSORA"</formula>
    </cfRule>
  </conditionalFormatting>
  <conditionalFormatting sqref="C168">
    <cfRule type="expression" priority="80" aboveAverage="0" equalAverage="0" bottom="0" percent="0" rank="0" text="" dxfId="106">
      <formula>#ref!="PORTAL"</formula>
    </cfRule>
    <cfRule type="expression" priority="81" aboveAverage="0" equalAverage="0" bottom="0" percent="0" rank="0" text="" dxfId="107">
      <formula>#ref!="RÁDIO 79"</formula>
    </cfRule>
    <cfRule type="expression" priority="82" aboveAverage="0" equalAverage="0" bottom="0" percent="0" rank="0" text="" dxfId="108">
      <formula>#ref!="TH+"</formula>
    </cfRule>
    <cfRule type="expression" priority="83" aboveAverage="0" equalAverage="0" bottom="0" percent="0" rank="0" text="" dxfId="109">
      <formula>#ref!="TH+ IN"</formula>
    </cfRule>
    <cfRule type="expression" priority="84" aboveAverage="0" equalAverage="0" bottom="0" percent="0" rank="0" text="" dxfId="110">
      <formula>#ref!="NOVA BRASIL"</formula>
    </cfRule>
    <cfRule type="expression" priority="85" aboveAverage="0" equalAverage="0" bottom="0" percent="0" rank="0" text="" dxfId="111">
      <formula>#ref!="DIFUSORA"</formula>
    </cfRule>
  </conditionalFormatting>
  <conditionalFormatting sqref="C169">
    <cfRule type="expression" priority="86" aboveAverage="0" equalAverage="0" bottom="0" percent="0" rank="0" text="" dxfId="112">
      <formula>#ref!="PORTAL"</formula>
    </cfRule>
    <cfRule type="expression" priority="87" aboveAverage="0" equalAverage="0" bottom="0" percent="0" rank="0" text="" dxfId="113">
      <formula>#ref!="RÁDIO 79"</formula>
    </cfRule>
    <cfRule type="expression" priority="88" aboveAverage="0" equalAverage="0" bottom="0" percent="0" rank="0" text="" dxfId="114">
      <formula>#ref!="TH+"</formula>
    </cfRule>
    <cfRule type="expression" priority="89" aboveAverage="0" equalAverage="0" bottom="0" percent="0" rank="0" text="" dxfId="115">
      <formula>#ref!="TH+ IN"</formula>
    </cfRule>
    <cfRule type="expression" priority="90" aboveAverage="0" equalAverage="0" bottom="0" percent="0" rank="0" text="" dxfId="116">
      <formula>#ref!="NOVA BRASIL"</formula>
    </cfRule>
    <cfRule type="expression" priority="91" aboveAverage="0" equalAverage="0" bottom="0" percent="0" rank="0" text="" dxfId="117">
      <formula>#ref!="DIFUSORA"</formula>
    </cfRule>
  </conditionalFormatting>
  <conditionalFormatting sqref="C167">
    <cfRule type="expression" priority="92" aboveAverage="0" equalAverage="0" bottom="0" percent="0" rank="0" text="" dxfId="118">
      <formula>#ref!="PORTAL"</formula>
    </cfRule>
    <cfRule type="expression" priority="93" aboveAverage="0" equalAverage="0" bottom="0" percent="0" rank="0" text="" dxfId="119">
      <formula>#ref!="RÁDIO 79"</formula>
    </cfRule>
    <cfRule type="expression" priority="94" aboveAverage="0" equalAverage="0" bottom="0" percent="0" rank="0" text="" dxfId="120">
      <formula>#ref!="TH+"</formula>
    </cfRule>
    <cfRule type="expression" priority="95" aboveAverage="0" equalAverage="0" bottom="0" percent="0" rank="0" text="" dxfId="121">
      <formula>#ref!="TH+ IN"</formula>
    </cfRule>
    <cfRule type="expression" priority="96" aboveAverage="0" equalAverage="0" bottom="0" percent="0" rank="0" text="" dxfId="122">
      <formula>#ref!="NOVA BRASIL"</formula>
    </cfRule>
    <cfRule type="expression" priority="97" aboveAverage="0" equalAverage="0" bottom="0" percent="0" rank="0" text="" dxfId="123">
      <formula>#ref!="DIFUSORA"</formula>
    </cfRule>
  </conditionalFormatting>
  <conditionalFormatting sqref="C168">
    <cfRule type="expression" priority="98" aboveAverage="0" equalAverage="0" bottom="0" percent="0" rank="0" text="" dxfId="124">
      <formula>#ref!="PORTAL"</formula>
    </cfRule>
    <cfRule type="expression" priority="99" aboveAverage="0" equalAverage="0" bottom="0" percent="0" rank="0" text="" dxfId="125">
      <formula>#ref!="RÁDIO 79"</formula>
    </cfRule>
    <cfRule type="expression" priority="100" aboveAverage="0" equalAverage="0" bottom="0" percent="0" rank="0" text="" dxfId="126">
      <formula>#ref!="TH+"</formula>
    </cfRule>
    <cfRule type="expression" priority="101" aboveAverage="0" equalAverage="0" bottom="0" percent="0" rank="0" text="" dxfId="127">
      <formula>#ref!="TH+ IN"</formula>
    </cfRule>
    <cfRule type="expression" priority="102" aboveAverage="0" equalAverage="0" bottom="0" percent="0" rank="0" text="" dxfId="128">
      <formula>#ref!="NOVA BRASIL"</formula>
    </cfRule>
    <cfRule type="expression" priority="103" aboveAverage="0" equalAverage="0" bottom="0" percent="0" rank="0" text="" dxfId="129">
      <formula>#ref!="DIFUSORA"</formula>
    </cfRule>
  </conditionalFormatting>
  <conditionalFormatting sqref="C169">
    <cfRule type="expression" priority="104" aboveAverage="0" equalAverage="0" bottom="0" percent="0" rank="0" text="" dxfId="130">
      <formula>#ref!="PORTAL"</formula>
    </cfRule>
    <cfRule type="expression" priority="105" aboveAverage="0" equalAverage="0" bottom="0" percent="0" rank="0" text="" dxfId="131">
      <formula>#ref!="RÁDIO 79"</formula>
    </cfRule>
    <cfRule type="expression" priority="106" aboveAverage="0" equalAverage="0" bottom="0" percent="0" rank="0" text="" dxfId="132">
      <formula>#ref!="TH+"</formula>
    </cfRule>
    <cfRule type="expression" priority="107" aboveAverage="0" equalAverage="0" bottom="0" percent="0" rank="0" text="" dxfId="133">
      <formula>#ref!="TH+ IN"</formula>
    </cfRule>
    <cfRule type="expression" priority="108" aboveAverage="0" equalAverage="0" bottom="0" percent="0" rank="0" text="" dxfId="134">
      <formula>#ref!="NOVA BRASIL"</formula>
    </cfRule>
    <cfRule type="expression" priority="109" aboveAverage="0" equalAverage="0" bottom="0" percent="0" rank="0" text="" dxfId="135">
      <formula>#ref!="DIFUSORA"</formula>
    </cfRule>
  </conditionalFormatting>
  <conditionalFormatting sqref="C170">
    <cfRule type="expression" priority="110" aboveAverage="0" equalAverage="0" bottom="0" percent="0" rank="0" text="" dxfId="136">
      <formula>#ref!="PORTAL"</formula>
    </cfRule>
    <cfRule type="expression" priority="111" aboveAverage="0" equalAverage="0" bottom="0" percent="0" rank="0" text="" dxfId="137">
      <formula>#ref!="RÁDIO 79"</formula>
    </cfRule>
    <cfRule type="expression" priority="112" aboveAverage="0" equalAverage="0" bottom="0" percent="0" rank="0" text="" dxfId="138">
      <formula>#ref!="TH+"</formula>
    </cfRule>
    <cfRule type="expression" priority="113" aboveAverage="0" equalAverage="0" bottom="0" percent="0" rank="0" text="" dxfId="139">
      <formula>#ref!="TH+ IN"</formula>
    </cfRule>
    <cfRule type="expression" priority="114" aboveAverage="0" equalAverage="0" bottom="0" percent="0" rank="0" text="" dxfId="140">
      <formula>#ref!="NOVA BRASIL"</formula>
    </cfRule>
    <cfRule type="expression" priority="115" aboveAverage="0" equalAverage="0" bottom="0" percent="0" rank="0" text="" dxfId="141">
      <formula>#ref!="DIFUSORA"</formula>
    </cfRule>
  </conditionalFormatting>
  <conditionalFormatting sqref="C171">
    <cfRule type="expression" priority="116" aboveAverage="0" equalAverage="0" bottom="0" percent="0" rank="0" text="" dxfId="142">
      <formula>#ref!="PORTAL"</formula>
    </cfRule>
    <cfRule type="expression" priority="117" aboveAverage="0" equalAverage="0" bottom="0" percent="0" rank="0" text="" dxfId="143">
      <formula>#ref!="RÁDIO 79"</formula>
    </cfRule>
    <cfRule type="expression" priority="118" aboveAverage="0" equalAverage="0" bottom="0" percent="0" rank="0" text="" dxfId="144">
      <formula>#ref!="TH+"</formula>
    </cfRule>
    <cfRule type="expression" priority="119" aboveAverage="0" equalAverage="0" bottom="0" percent="0" rank="0" text="" dxfId="145">
      <formula>#ref!="TH+ IN"</formula>
    </cfRule>
    <cfRule type="expression" priority="120" aboveAverage="0" equalAverage="0" bottom="0" percent="0" rank="0" text="" dxfId="146">
      <formula>#ref!="NOVA BRASIL"</formula>
    </cfRule>
    <cfRule type="expression" priority="121" aboveAverage="0" equalAverage="0" bottom="0" percent="0" rank="0" text="" dxfId="147">
      <formula>#ref!="DIFUSORA"</formula>
    </cfRule>
  </conditionalFormatting>
  <conditionalFormatting sqref="C172">
    <cfRule type="expression" priority="122" aboveAverage="0" equalAverage="0" bottom="0" percent="0" rank="0" text="" dxfId="148">
      <formula>#ref!="PORTAL"</formula>
    </cfRule>
    <cfRule type="expression" priority="123" aboveAverage="0" equalAverage="0" bottom="0" percent="0" rank="0" text="" dxfId="149">
      <formula>#ref!="RÁDIO 79"</formula>
    </cfRule>
    <cfRule type="expression" priority="124" aboveAverage="0" equalAverage="0" bottom="0" percent="0" rank="0" text="" dxfId="150">
      <formula>#ref!="TH+"</formula>
    </cfRule>
    <cfRule type="expression" priority="125" aboveAverage="0" equalAverage="0" bottom="0" percent="0" rank="0" text="" dxfId="151">
      <formula>#ref!="TH+ IN"</formula>
    </cfRule>
    <cfRule type="expression" priority="126" aboveAverage="0" equalAverage="0" bottom="0" percent="0" rank="0" text="" dxfId="152">
      <formula>#ref!="NOVA BRASIL"</formula>
    </cfRule>
    <cfRule type="expression" priority="127" aboveAverage="0" equalAverage="0" bottom="0" percent="0" rank="0" text="" dxfId="153">
      <formula>#ref!="DIFUSORA"</formula>
    </cfRule>
  </conditionalFormatting>
  <conditionalFormatting sqref="C174">
    <cfRule type="expression" priority="128" aboveAverage="0" equalAverage="0" bottom="0" percent="0" rank="0" text="" dxfId="154">
      <formula>#ref!="PORTAL"</formula>
    </cfRule>
    <cfRule type="expression" priority="129" aboveAverage="0" equalAverage="0" bottom="0" percent="0" rank="0" text="" dxfId="155">
      <formula>#ref!="RÁDIO 79"</formula>
    </cfRule>
    <cfRule type="expression" priority="130" aboveAverage="0" equalAverage="0" bottom="0" percent="0" rank="0" text="" dxfId="156">
      <formula>#ref!="TH+"</formula>
    </cfRule>
    <cfRule type="expression" priority="131" aboveAverage="0" equalAverage="0" bottom="0" percent="0" rank="0" text="" dxfId="157">
      <formula>#ref!="TH+ IN"</formula>
    </cfRule>
    <cfRule type="expression" priority="132" aboveAverage="0" equalAverage="0" bottom="0" percent="0" rank="0" text="" dxfId="158">
      <formula>#ref!="NOVA BRASIL"</formula>
    </cfRule>
    <cfRule type="expression" priority="133" aboveAverage="0" equalAverage="0" bottom="0" percent="0" rank="0" text="" dxfId="159">
      <formula>#ref!="DIFUSORA"</formula>
    </cfRule>
  </conditionalFormatting>
  <conditionalFormatting sqref="C175">
    <cfRule type="expression" priority="134" aboveAverage="0" equalAverage="0" bottom="0" percent="0" rank="0" text="" dxfId="160">
      <formula>#ref!="PORTAL"</formula>
    </cfRule>
    <cfRule type="expression" priority="135" aboveAverage="0" equalAverage="0" bottom="0" percent="0" rank="0" text="" dxfId="161">
      <formula>#ref!="RÁDIO 79"</formula>
    </cfRule>
    <cfRule type="expression" priority="136" aboveAverage="0" equalAverage="0" bottom="0" percent="0" rank="0" text="" dxfId="162">
      <formula>#ref!="TH+"</formula>
    </cfRule>
    <cfRule type="expression" priority="137" aboveAverage="0" equalAverage="0" bottom="0" percent="0" rank="0" text="" dxfId="163">
      <formula>#ref!="TH+ IN"</formula>
    </cfRule>
    <cfRule type="expression" priority="138" aboveAverage="0" equalAverage="0" bottom="0" percent="0" rank="0" text="" dxfId="164">
      <formula>#ref!="NOVA BRASIL"</formula>
    </cfRule>
    <cfRule type="expression" priority="139" aboveAverage="0" equalAverage="0" bottom="0" percent="0" rank="0" text="" dxfId="165">
      <formula>#ref!="DIFUSORA"</formula>
    </cfRule>
  </conditionalFormatting>
  <conditionalFormatting sqref="C176">
    <cfRule type="expression" priority="140" aboveAverage="0" equalAverage="0" bottom="0" percent="0" rank="0" text="" dxfId="166">
      <formula>#ref!="PORTAL"</formula>
    </cfRule>
    <cfRule type="expression" priority="141" aboveAverage="0" equalAverage="0" bottom="0" percent="0" rank="0" text="" dxfId="167">
      <formula>#ref!="RÁDIO 79"</formula>
    </cfRule>
    <cfRule type="expression" priority="142" aboveAverage="0" equalAverage="0" bottom="0" percent="0" rank="0" text="" dxfId="168">
      <formula>#ref!="TH+"</formula>
    </cfRule>
    <cfRule type="expression" priority="143" aboveAverage="0" equalAverage="0" bottom="0" percent="0" rank="0" text="" dxfId="169">
      <formula>#ref!="TH+ IN"</formula>
    </cfRule>
    <cfRule type="expression" priority="144" aboveAverage="0" equalAverage="0" bottom="0" percent="0" rank="0" text="" dxfId="170">
      <formula>#ref!="NOVA BRASIL"</formula>
    </cfRule>
    <cfRule type="expression" priority="145" aboveAverage="0" equalAverage="0" bottom="0" percent="0" rank="0" text="" dxfId="171">
      <formula>#ref!="DIFUSORA"</formula>
    </cfRule>
  </conditionalFormatting>
  <conditionalFormatting sqref="C177">
    <cfRule type="expression" priority="146" aboveAverage="0" equalAverage="0" bottom="0" percent="0" rank="0" text="" dxfId="652">
      <formula>#ref!="PORTAL"</formula>
    </cfRule>
    <cfRule type="expression" priority="147" aboveAverage="0" equalAverage="0" bottom="0" percent="0" rank="0" text="" dxfId="653">
      <formula>#ref!="RÁDIO 79"</formula>
    </cfRule>
    <cfRule type="expression" priority="148" aboveAverage="0" equalAverage="0" bottom="0" percent="0" rank="0" text="" dxfId="654">
      <formula>#ref!="TH+"</formula>
    </cfRule>
    <cfRule type="expression" priority="149" aboveAverage="0" equalAverage="0" bottom="0" percent="0" rank="0" text="" dxfId="655">
      <formula>#ref!="TH+ IN"</formula>
    </cfRule>
    <cfRule type="expression" priority="150" aboveAverage="0" equalAverage="0" bottom="0" percent="0" rank="0" text="" dxfId="656">
      <formula>#ref!="NOVA BRASIL"</formula>
    </cfRule>
    <cfRule type="expression" priority="151" aboveAverage="0" equalAverage="0" bottom="0" percent="0" rank="0" text="" dxfId="657">
      <formula>#ref!="DIFUSORA"</formula>
    </cfRule>
  </conditionalFormatting>
  <conditionalFormatting sqref="C178:C179">
    <cfRule type="expression" priority="152" aboveAverage="0" equalAverage="0" bottom="0" percent="0" rank="0" text="" dxfId="172">
      <formula>#ref!="PORTAL"</formula>
    </cfRule>
    <cfRule type="expression" priority="153" aboveAverage="0" equalAverage="0" bottom="0" percent="0" rank="0" text="" dxfId="173">
      <formula>#ref!="RÁDIO 79"</formula>
    </cfRule>
    <cfRule type="expression" priority="154" aboveAverage="0" equalAverage="0" bottom="0" percent="0" rank="0" text="" dxfId="174">
      <formula>#ref!="TH+"</formula>
    </cfRule>
    <cfRule type="expression" priority="155" aboveAverage="0" equalAverage="0" bottom="0" percent="0" rank="0" text="" dxfId="175">
      <formula>#ref!="TH+ IN"</formula>
    </cfRule>
    <cfRule type="expression" priority="156" aboveAverage="0" equalAverage="0" bottom="0" percent="0" rank="0" text="" dxfId="176">
      <formula>#ref!="NOVA BRASIL"</formula>
    </cfRule>
    <cfRule type="expression" priority="157" aboveAverage="0" equalAverage="0" bottom="0" percent="0" rank="0" text="" dxfId="177">
      <formula>#ref!="DIFUSORA"</formula>
    </cfRule>
  </conditionalFormatting>
  <conditionalFormatting sqref="C180">
    <cfRule type="expression" priority="158" aboveAverage="0" equalAverage="0" bottom="0" percent="0" rank="0" text="" dxfId="664">
      <formula>#ref!="PORTAL"</formula>
    </cfRule>
    <cfRule type="expression" priority="159" aboveAverage="0" equalAverage="0" bottom="0" percent="0" rank="0" text="" dxfId="665">
      <formula>#ref!="RÁDIO 79"</formula>
    </cfRule>
    <cfRule type="expression" priority="160" aboveAverage="0" equalAverage="0" bottom="0" percent="0" rank="0" text="" dxfId="666">
      <formula>#ref!="TH+"</formula>
    </cfRule>
    <cfRule type="expression" priority="161" aboveAverage="0" equalAverage="0" bottom="0" percent="0" rank="0" text="" dxfId="667">
      <formula>#ref!="TH+ IN"</formula>
    </cfRule>
    <cfRule type="expression" priority="162" aboveAverage="0" equalAverage="0" bottom="0" percent="0" rank="0" text="" dxfId="668">
      <formula>#ref!="NOVA BRASIL"</formula>
    </cfRule>
    <cfRule type="expression" priority="163" aboveAverage="0" equalAverage="0" bottom="0" percent="0" rank="0" text="" dxfId="669">
      <formula>#ref!="DIFUSORA"</formula>
    </cfRule>
  </conditionalFormatting>
  <conditionalFormatting sqref="C181:C184">
    <cfRule type="expression" priority="164" aboveAverage="0" equalAverage="0" bottom="0" percent="0" rank="0" text="" dxfId="178">
      <formula>#ref!="PORTAL"</formula>
    </cfRule>
    <cfRule type="expression" priority="165" aboveAverage="0" equalAverage="0" bottom="0" percent="0" rank="0" text="" dxfId="179">
      <formula>#ref!="RÁDIO 79"</formula>
    </cfRule>
    <cfRule type="expression" priority="166" aboveAverage="0" equalAverage="0" bottom="0" percent="0" rank="0" text="" dxfId="180">
      <formula>#ref!="TH+"</formula>
    </cfRule>
    <cfRule type="expression" priority="167" aboveAverage="0" equalAverage="0" bottom="0" percent="0" rank="0" text="" dxfId="181">
      <formula>#ref!="TH+ IN"</formula>
    </cfRule>
    <cfRule type="expression" priority="168" aboveAverage="0" equalAverage="0" bottom="0" percent="0" rank="0" text="" dxfId="182">
      <formula>#ref!="NOVA BRASIL"</formula>
    </cfRule>
    <cfRule type="expression" priority="169" aboveAverage="0" equalAverage="0" bottom="0" percent="0" rank="0" text="" dxfId="183">
      <formula>#ref!="DIFUSORA"</formula>
    </cfRule>
  </conditionalFormatting>
  <conditionalFormatting sqref="C185">
    <cfRule type="expression" priority="170" aboveAverage="0" equalAverage="0" bottom="0" percent="0" rank="0" text="" dxfId="184">
      <formula>#ref!="PORTAL"</formula>
    </cfRule>
    <cfRule type="expression" priority="171" aboveAverage="0" equalAverage="0" bottom="0" percent="0" rank="0" text="" dxfId="185">
      <formula>#ref!="RÁDIO 79"</formula>
    </cfRule>
    <cfRule type="expression" priority="172" aboveAverage="0" equalAverage="0" bottom="0" percent="0" rank="0" text="" dxfId="186">
      <formula>#ref!="TH+"</formula>
    </cfRule>
    <cfRule type="expression" priority="173" aboveAverage="0" equalAverage="0" bottom="0" percent="0" rank="0" text="" dxfId="187">
      <formula>#ref!="TH+ IN"</formula>
    </cfRule>
    <cfRule type="expression" priority="174" aboveAverage="0" equalAverage="0" bottom="0" percent="0" rank="0" text="" dxfId="188">
      <formula>#ref!="NOVA BRASIL"</formula>
    </cfRule>
    <cfRule type="expression" priority="175" aboveAverage="0" equalAverage="0" bottom="0" percent="0" rank="0" text="" dxfId="189">
      <formula>#ref!="DIFUSORA"</formula>
    </cfRule>
  </conditionalFormatting>
  <conditionalFormatting sqref="C186">
    <cfRule type="expression" priority="176" aboveAverage="0" equalAverage="0" bottom="0" percent="0" rank="0" text="" dxfId="190">
      <formula>#ref!="PORTAL"</formula>
    </cfRule>
    <cfRule type="expression" priority="177" aboveAverage="0" equalAverage="0" bottom="0" percent="0" rank="0" text="" dxfId="191">
      <formula>#ref!="RÁDIO 79"</formula>
    </cfRule>
    <cfRule type="expression" priority="178" aboveAverage="0" equalAverage="0" bottom="0" percent="0" rank="0" text="" dxfId="192">
      <formula>#ref!="TH+"</formula>
    </cfRule>
    <cfRule type="expression" priority="179" aboveAverage="0" equalAverage="0" bottom="0" percent="0" rank="0" text="" dxfId="193">
      <formula>#ref!="TH+ IN"</formula>
    </cfRule>
    <cfRule type="expression" priority="180" aboveAverage="0" equalAverage="0" bottom="0" percent="0" rank="0" text="" dxfId="194">
      <formula>#ref!="NOVA BRASIL"</formula>
    </cfRule>
    <cfRule type="expression" priority="181" aboveAverage="0" equalAverage="0" bottom="0" percent="0" rank="0" text="" dxfId="195">
      <formula>#ref!="DIFUSORA"</formula>
    </cfRule>
  </conditionalFormatting>
  <conditionalFormatting sqref="C187:C188">
    <cfRule type="expression" priority="182" aboveAverage="0" equalAverage="0" bottom="0" percent="0" rank="0" text="" dxfId="196">
      <formula>#ref!="PORTAL"</formula>
    </cfRule>
    <cfRule type="expression" priority="183" aboveAverage="0" equalAverage="0" bottom="0" percent="0" rank="0" text="" dxfId="197">
      <formula>#ref!="RÁDIO 79"</formula>
    </cfRule>
    <cfRule type="expression" priority="184" aboveAverage="0" equalAverage="0" bottom="0" percent="0" rank="0" text="" dxfId="198">
      <formula>#ref!="TH+"</formula>
    </cfRule>
    <cfRule type="expression" priority="185" aboveAverage="0" equalAverage="0" bottom="0" percent="0" rank="0" text="" dxfId="199">
      <formula>#ref!="TH+ IN"</formula>
    </cfRule>
    <cfRule type="expression" priority="186" aboveAverage="0" equalAverage="0" bottom="0" percent="0" rank="0" text="" dxfId="200">
      <formula>#ref!="NOVA BRASIL"</formula>
    </cfRule>
    <cfRule type="expression" priority="187" aboveAverage="0" equalAverage="0" bottom="0" percent="0" rank="0" text="" dxfId="201">
      <formula>#ref!="DIFUSORA"</formula>
    </cfRule>
  </conditionalFormatting>
  <conditionalFormatting sqref="C198">
    <cfRule type="expression" priority="188" aboveAverage="0" equalAverage="0" bottom="0" percent="0" rank="0" text="" dxfId="694">
      <formula>#ref!="PORTAL"</formula>
    </cfRule>
    <cfRule type="expression" priority="189" aboveAverage="0" equalAverage="0" bottom="0" percent="0" rank="0" text="" dxfId="695">
      <formula>#ref!="RÁDIO 79"</formula>
    </cfRule>
    <cfRule type="expression" priority="190" aboveAverage="0" equalAverage="0" bottom="0" percent="0" rank="0" text="" dxfId="696">
      <formula>#ref!="TH+"</formula>
    </cfRule>
    <cfRule type="expression" priority="191" aboveAverage="0" equalAverage="0" bottom="0" percent="0" rank="0" text="" dxfId="697">
      <formula>#ref!="TH+ IN"</formula>
    </cfRule>
    <cfRule type="expression" priority="192" aboveAverage="0" equalAverage="0" bottom="0" percent="0" rank="0" text="" dxfId="698">
      <formula>#ref!="NOVA BRASIL"</formula>
    </cfRule>
    <cfRule type="expression" priority="193" aboveAverage="0" equalAverage="0" bottom="0" percent="0" rank="0" text="" dxfId="699">
      <formula>#ref!="DIFUSORA"</formula>
    </cfRule>
  </conditionalFormatting>
  <conditionalFormatting sqref="C199:C202">
    <cfRule type="expression" priority="194" aboveAverage="0" equalAverage="0" bottom="0" percent="0" rank="0" text="" dxfId="592">
      <formula>#ref!="PORTAL"</formula>
    </cfRule>
    <cfRule type="expression" priority="195" aboveAverage="0" equalAverage="0" bottom="0" percent="0" rank="0" text="" dxfId="593">
      <formula>#ref!="RÁDIO 79"</formula>
    </cfRule>
    <cfRule type="expression" priority="196" aboveAverage="0" equalAverage="0" bottom="0" percent="0" rank="0" text="" dxfId="594">
      <formula>#ref!="TH+"</formula>
    </cfRule>
    <cfRule type="expression" priority="197" aboveAverage="0" equalAverage="0" bottom="0" percent="0" rank="0" text="" dxfId="595">
      <formula>#ref!="TH+ IN"</formula>
    </cfRule>
    <cfRule type="expression" priority="198" aboveAverage="0" equalAverage="0" bottom="0" percent="0" rank="0" text="" dxfId="596">
      <formula>#ref!="NOVA BRASIL"</formula>
    </cfRule>
    <cfRule type="expression" priority="199" aboveAverage="0" equalAverage="0" bottom="0" percent="0" rank="0" text="" dxfId="597">
      <formula>#ref!="DIFUSORA"</formula>
    </cfRule>
  </conditionalFormatting>
  <conditionalFormatting sqref="C216">
    <cfRule type="expression" priority="200" aboveAverage="0" equalAverage="0" bottom="0" percent="0" rank="0" text="" dxfId="730">
      <formula>#ref!="PORTAL"</formula>
    </cfRule>
    <cfRule type="expression" priority="201" aboveAverage="0" equalAverage="0" bottom="0" percent="0" rank="0" text="" dxfId="731">
      <formula>#ref!="RÁDIO 79"</formula>
    </cfRule>
    <cfRule type="expression" priority="202" aboveAverage="0" equalAverage="0" bottom="0" percent="0" rank="0" text="" dxfId="732">
      <formula>#ref!="TH+"</formula>
    </cfRule>
    <cfRule type="expression" priority="203" aboveAverage="0" equalAverage="0" bottom="0" percent="0" rank="0" text="" dxfId="733">
      <formula>#ref!="TH+ IN"</formula>
    </cfRule>
    <cfRule type="expression" priority="204" aboveAverage="0" equalAverage="0" bottom="0" percent="0" rank="0" text="" dxfId="734">
      <formula>#ref!="NOVA BRASIL"</formula>
    </cfRule>
    <cfRule type="expression" priority="205" aboveAverage="0" equalAverage="0" bottom="0" percent="0" rank="0" text="" dxfId="735">
      <formula>#ref!="DIFUSORA"</formula>
    </cfRule>
  </conditionalFormatting>
  <conditionalFormatting sqref="C217 A217">
    <cfRule type="expression" priority="206" aboveAverage="0" equalAverage="0" bottom="0" percent="0" rank="0" text="" dxfId="598">
      <formula>#ref!="PORTAL"</formula>
    </cfRule>
    <cfRule type="expression" priority="207" aboveAverage="0" equalAverage="0" bottom="0" percent="0" rank="0" text="" dxfId="599">
      <formula>#ref!="TH+ PRIME"</formula>
    </cfRule>
    <cfRule type="expression" priority="208" aboveAverage="0" equalAverage="0" bottom="0" percent="0" rank="0" text="" dxfId="600">
      <formula>#ref!="TH+"</formula>
    </cfRule>
    <cfRule type="expression" priority="209" aboveAverage="0" equalAverage="0" bottom="0" percent="0" rank="0" text="" dxfId="601">
      <formula>#ref!="TH+ IN"</formula>
    </cfRule>
    <cfRule type="expression" priority="210" aboveAverage="0" equalAverage="0" bottom="0" percent="0" rank="0" text="" dxfId="602">
      <formula>#ref!="NOVA BRASIL"</formula>
    </cfRule>
    <cfRule type="expression" priority="211" aboveAverage="0" equalAverage="0" bottom="0" percent="0" rank="0" text="" dxfId="603">
      <formula>#ref!="DIFUSORA"</formula>
    </cfRule>
  </conditionalFormatting>
  <conditionalFormatting sqref="D173">
    <cfRule type="expression" priority="212" aboveAverage="0" equalAverage="0" bottom="0" percent="0" rank="0" text="" dxfId="202">
      <formula>#ref!="PORTAL"</formula>
    </cfRule>
    <cfRule type="expression" priority="213" aboveAverage="0" equalAverage="0" bottom="0" percent="0" rank="0" text="" dxfId="203">
      <formula>#ref!="TH+ IN"</formula>
    </cfRule>
    <cfRule type="expression" priority="214" aboveAverage="0" equalAverage="0" bottom="0" percent="0" rank="0" text="" dxfId="204">
      <formula>#ref!="RÁDIO 79"</formula>
    </cfRule>
    <cfRule type="expression" priority="215" aboveAverage="0" equalAverage="0" bottom="0" percent="0" rank="0" text="" dxfId="205">
      <formula>#ref!="TH+"</formula>
    </cfRule>
    <cfRule type="expression" priority="216" aboveAverage="0" equalAverage="0" bottom="0" percent="0" rank="0" text="" dxfId="206">
      <formula>#ref!="NOVA BRASIL"</formula>
    </cfRule>
    <cfRule type="expression" priority="217" aboveAverage="0" equalAverage="0" bottom="0" percent="0" rank="0" text="" dxfId="207">
      <formula>#ref!="DIFUSORA"</formula>
    </cfRule>
  </conditionalFormatting>
  <conditionalFormatting sqref="D168">
    <cfRule type="expression" priority="218" aboveAverage="0" equalAverage="0" bottom="0" percent="0" rank="0" text="" dxfId="208">
      <formula>#ref!="PORTAL"</formula>
    </cfRule>
    <cfRule type="expression" priority="219" aboveAverage="0" equalAverage="0" bottom="0" percent="0" rank="0" text="" dxfId="209">
      <formula>#ref!="RÁDIO 79"</formula>
    </cfRule>
    <cfRule type="expression" priority="220" aboveAverage="0" equalAverage="0" bottom="0" percent="0" rank="0" text="" dxfId="210">
      <formula>#ref!="TH+"</formula>
    </cfRule>
    <cfRule type="expression" priority="221" aboveAverage="0" equalAverage="0" bottom="0" percent="0" rank="0" text="" dxfId="211">
      <formula>#ref!="TH+ IN"</formula>
    </cfRule>
    <cfRule type="expression" priority="222" aboveAverage="0" equalAverage="0" bottom="0" percent="0" rank="0" text="" dxfId="212">
      <formula>#ref!="NOVA BRASIL"</formula>
    </cfRule>
    <cfRule type="expression" priority="223" aboveAverage="0" equalAverage="0" bottom="0" percent="0" rank="0" text="" dxfId="213">
      <formula>#ref!="DIFUSORA"</formula>
    </cfRule>
  </conditionalFormatting>
  <conditionalFormatting sqref="D169">
    <cfRule type="expression" priority="224" aboveAverage="0" equalAverage="0" bottom="0" percent="0" rank="0" text="" dxfId="214">
      <formula>#ref!="PORTAL"</formula>
    </cfRule>
    <cfRule type="expression" priority="225" aboveAverage="0" equalAverage="0" bottom="0" percent="0" rank="0" text="" dxfId="215">
      <formula>#ref!="RÁDIO 79"</formula>
    </cfRule>
    <cfRule type="expression" priority="226" aboveAverage="0" equalAverage="0" bottom="0" percent="0" rank="0" text="" dxfId="216">
      <formula>#ref!="TH+"</formula>
    </cfRule>
    <cfRule type="expression" priority="227" aboveAverage="0" equalAverage="0" bottom="0" percent="0" rank="0" text="" dxfId="217">
      <formula>#ref!="TH+ IN"</formula>
    </cfRule>
    <cfRule type="expression" priority="228" aboveAverage="0" equalAverage="0" bottom="0" percent="0" rank="0" text="" dxfId="218">
      <formula>#ref!="NOVA BRASIL"</formula>
    </cfRule>
    <cfRule type="expression" priority="229" aboveAverage="0" equalAverage="0" bottom="0" percent="0" rank="0" text="" dxfId="219">
      <formula>#ref!="DIFUSORA"</formula>
    </cfRule>
  </conditionalFormatting>
  <conditionalFormatting sqref="D167">
    <cfRule type="expression" priority="230" aboveAverage="0" equalAverage="0" bottom="0" percent="0" rank="0" text="" dxfId="220">
      <formula>#ref!="PORTAL"</formula>
    </cfRule>
    <cfRule type="expression" priority="231" aboveAverage="0" equalAverage="0" bottom="0" percent="0" rank="0" text="" dxfId="221">
      <formula>#ref!="RÁDIO 79"</formula>
    </cfRule>
    <cfRule type="expression" priority="232" aboveAverage="0" equalAverage="0" bottom="0" percent="0" rank="0" text="" dxfId="222">
      <formula>#ref!="TH+"</formula>
    </cfRule>
    <cfRule type="expression" priority="233" aboveAverage="0" equalAverage="0" bottom="0" percent="0" rank="0" text="" dxfId="223">
      <formula>#ref!="TH+ IN"</formula>
    </cfRule>
    <cfRule type="expression" priority="234" aboveAverage="0" equalAverage="0" bottom="0" percent="0" rank="0" text="" dxfId="224">
      <formula>#ref!="NOVA BRASIL"</formula>
    </cfRule>
    <cfRule type="expression" priority="235" aboveAverage="0" equalAverage="0" bottom="0" percent="0" rank="0" text="" dxfId="225">
      <formula>#ref!="DIFUSORA"</formula>
    </cfRule>
  </conditionalFormatting>
  <conditionalFormatting sqref="D168">
    <cfRule type="expression" priority="236" aboveAverage="0" equalAverage="0" bottom="0" percent="0" rank="0" text="" dxfId="226">
      <formula>#ref!="PORTAL"</formula>
    </cfRule>
    <cfRule type="expression" priority="237" aboveAverage="0" equalAverage="0" bottom="0" percent="0" rank="0" text="" dxfId="227">
      <formula>#ref!="RÁDIO 79"</formula>
    </cfRule>
    <cfRule type="expression" priority="238" aboveAverage="0" equalAverage="0" bottom="0" percent="0" rank="0" text="" dxfId="228">
      <formula>#ref!="TH+"</formula>
    </cfRule>
    <cfRule type="expression" priority="239" aboveAverage="0" equalAverage="0" bottom="0" percent="0" rank="0" text="" dxfId="229">
      <formula>#ref!="TH+ IN"</formula>
    </cfRule>
    <cfRule type="expression" priority="240" aboveAverage="0" equalAverage="0" bottom="0" percent="0" rank="0" text="" dxfId="230">
      <formula>#ref!="NOVA BRASIL"</formula>
    </cfRule>
    <cfRule type="expression" priority="241" aboveAverage="0" equalAverage="0" bottom="0" percent="0" rank="0" text="" dxfId="231">
      <formula>#ref!="DIFUSORA"</formula>
    </cfRule>
  </conditionalFormatting>
  <conditionalFormatting sqref="D169">
    <cfRule type="expression" priority="242" aboveAverage="0" equalAverage="0" bottom="0" percent="0" rank="0" text="" dxfId="232">
      <formula>#ref!="PORTAL"</formula>
    </cfRule>
    <cfRule type="expression" priority="243" aboveAverage="0" equalAverage="0" bottom="0" percent="0" rank="0" text="" dxfId="233">
      <formula>#ref!="RÁDIO 79"</formula>
    </cfRule>
    <cfRule type="expression" priority="244" aboveAverage="0" equalAverage="0" bottom="0" percent="0" rank="0" text="" dxfId="234">
      <formula>#ref!="TH+"</formula>
    </cfRule>
    <cfRule type="expression" priority="245" aboveAverage="0" equalAverage="0" bottom="0" percent="0" rank="0" text="" dxfId="235">
      <formula>#ref!="TH+ IN"</formula>
    </cfRule>
    <cfRule type="expression" priority="246" aboveAverage="0" equalAverage="0" bottom="0" percent="0" rank="0" text="" dxfId="236">
      <formula>#ref!="NOVA BRASIL"</formula>
    </cfRule>
    <cfRule type="expression" priority="247" aboveAverage="0" equalAverage="0" bottom="0" percent="0" rank="0" text="" dxfId="237">
      <formula>#ref!="DIFUSORA"</formula>
    </cfRule>
  </conditionalFormatting>
  <conditionalFormatting sqref="D170">
    <cfRule type="expression" priority="248" aboveAverage="0" equalAverage="0" bottom="0" percent="0" rank="0" text="" dxfId="238">
      <formula>#ref!="PORTAL"</formula>
    </cfRule>
    <cfRule type="expression" priority="249" aboveAverage="0" equalAverage="0" bottom="0" percent="0" rank="0" text="" dxfId="239">
      <formula>#ref!="RÁDIO 79"</formula>
    </cfRule>
    <cfRule type="expression" priority="250" aboveAverage="0" equalAverage="0" bottom="0" percent="0" rank="0" text="" dxfId="240">
      <formula>#ref!="TH+"</formula>
    </cfRule>
    <cfRule type="expression" priority="251" aboveAverage="0" equalAverage="0" bottom="0" percent="0" rank="0" text="" dxfId="241">
      <formula>#ref!="TH+ IN"</formula>
    </cfRule>
    <cfRule type="expression" priority="252" aboveAverage="0" equalAverage="0" bottom="0" percent="0" rank="0" text="" dxfId="242">
      <formula>#ref!="NOVA BRASIL"</formula>
    </cfRule>
    <cfRule type="expression" priority="253" aboveAverage="0" equalAverage="0" bottom="0" percent="0" rank="0" text="" dxfId="243">
      <formula>#ref!="DIFUSORA"</formula>
    </cfRule>
  </conditionalFormatting>
  <conditionalFormatting sqref="D171">
    <cfRule type="expression" priority="254" aboveAverage="0" equalAverage="0" bottom="0" percent="0" rank="0" text="" dxfId="244">
      <formula>#ref!="PORTAL"</formula>
    </cfRule>
    <cfRule type="expression" priority="255" aboveAverage="0" equalAverage="0" bottom="0" percent="0" rank="0" text="" dxfId="245">
      <formula>#ref!="RÁDIO 79"</formula>
    </cfRule>
    <cfRule type="expression" priority="256" aboveAverage="0" equalAverage="0" bottom="0" percent="0" rank="0" text="" dxfId="246">
      <formula>#ref!="TH+"</formula>
    </cfRule>
    <cfRule type="expression" priority="257" aboveAverage="0" equalAverage="0" bottom="0" percent="0" rank="0" text="" dxfId="247">
      <formula>#ref!="TH+ IN"</formula>
    </cfRule>
    <cfRule type="expression" priority="258" aboveAverage="0" equalAverage="0" bottom="0" percent="0" rank="0" text="" dxfId="248">
      <formula>#ref!="NOVA BRASIL"</formula>
    </cfRule>
    <cfRule type="expression" priority="259" aboveAverage="0" equalAverage="0" bottom="0" percent="0" rank="0" text="" dxfId="249">
      <formula>#ref!="DIFUSORA"</formula>
    </cfRule>
  </conditionalFormatting>
  <conditionalFormatting sqref="D172">
    <cfRule type="expression" priority="260" aboveAverage="0" equalAverage="0" bottom="0" percent="0" rank="0" text="" dxfId="250">
      <formula>#ref!="PORTAL"</formula>
    </cfRule>
    <cfRule type="expression" priority="261" aboveAverage="0" equalAverage="0" bottom="0" percent="0" rank="0" text="" dxfId="251">
      <formula>#ref!="RÁDIO 79"</formula>
    </cfRule>
    <cfRule type="expression" priority="262" aboveAverage="0" equalAverage="0" bottom="0" percent="0" rank="0" text="" dxfId="252">
      <formula>#ref!="TH+"</formula>
    </cfRule>
    <cfRule type="expression" priority="263" aboveAverage="0" equalAverage="0" bottom="0" percent="0" rank="0" text="" dxfId="253">
      <formula>#ref!="TH+ IN"</formula>
    </cfRule>
    <cfRule type="expression" priority="264" aboveAverage="0" equalAverage="0" bottom="0" percent="0" rank="0" text="" dxfId="254">
      <formula>#ref!="NOVA BRASIL"</formula>
    </cfRule>
    <cfRule type="expression" priority="265" aboveAverage="0" equalAverage="0" bottom="0" percent="0" rank="0" text="" dxfId="255">
      <formula>#ref!="DIFUSORA"</formula>
    </cfRule>
  </conditionalFormatting>
  <conditionalFormatting sqref="D174">
    <cfRule type="expression" priority="266" aboveAverage="0" equalAverage="0" bottom="0" percent="0" rank="0" text="" dxfId="256">
      <formula>#ref!="PORTAL"</formula>
    </cfRule>
    <cfRule type="expression" priority="267" aboveAverage="0" equalAverage="0" bottom="0" percent="0" rank="0" text="" dxfId="257">
      <formula>#ref!="RÁDIO 79"</formula>
    </cfRule>
    <cfRule type="expression" priority="268" aboveAverage="0" equalAverage="0" bottom="0" percent="0" rank="0" text="" dxfId="258">
      <formula>#ref!="TH+"</formula>
    </cfRule>
    <cfRule type="expression" priority="269" aboveAverage="0" equalAverage="0" bottom="0" percent="0" rank="0" text="" dxfId="259">
      <formula>#ref!="TH+ IN"</formula>
    </cfRule>
    <cfRule type="expression" priority="270" aboveAverage="0" equalAverage="0" bottom="0" percent="0" rank="0" text="" dxfId="260">
      <formula>#ref!="NOVA BRASIL"</formula>
    </cfRule>
    <cfRule type="expression" priority="271" aboveAverage="0" equalAverage="0" bottom="0" percent="0" rank="0" text="" dxfId="261">
      <formula>#ref!="DIFUSORA"</formula>
    </cfRule>
  </conditionalFormatting>
  <conditionalFormatting sqref="D175">
    <cfRule type="expression" priority="272" aboveAverage="0" equalAverage="0" bottom="0" percent="0" rank="0" text="" dxfId="262">
      <formula>#ref!="PORTAL"</formula>
    </cfRule>
    <cfRule type="expression" priority="273" aboveAverage="0" equalAverage="0" bottom="0" percent="0" rank="0" text="" dxfId="263">
      <formula>#ref!="RÁDIO 79"</formula>
    </cfRule>
    <cfRule type="expression" priority="274" aboveAverage="0" equalAverage="0" bottom="0" percent="0" rank="0" text="" dxfId="264">
      <formula>#ref!="TH+"</formula>
    </cfRule>
    <cfRule type="expression" priority="275" aboveAverage="0" equalAverage="0" bottom="0" percent="0" rank="0" text="" dxfId="265">
      <formula>#ref!="TH+ IN"</formula>
    </cfRule>
    <cfRule type="expression" priority="276" aboveAverage="0" equalAverage="0" bottom="0" percent="0" rank="0" text="" dxfId="266">
      <formula>#ref!="NOVA BRASIL"</formula>
    </cfRule>
    <cfRule type="expression" priority="277" aboveAverage="0" equalAverage="0" bottom="0" percent="0" rank="0" text="" dxfId="267">
      <formula>#ref!="DIFUSORA"</formula>
    </cfRule>
  </conditionalFormatting>
  <conditionalFormatting sqref="D176">
    <cfRule type="expression" priority="278" aboveAverage="0" equalAverage="0" bottom="0" percent="0" rank="0" text="" dxfId="268">
      <formula>#ref!="PORTAL"</formula>
    </cfRule>
    <cfRule type="expression" priority="279" aboveAverage="0" equalAverage="0" bottom="0" percent="0" rank="0" text="" dxfId="269">
      <formula>#ref!="RÁDIO 79"</formula>
    </cfRule>
    <cfRule type="expression" priority="280" aboveAverage="0" equalAverage="0" bottom="0" percent="0" rank="0" text="" dxfId="270">
      <formula>#ref!="TH+"</formula>
    </cfRule>
    <cfRule type="expression" priority="281" aboveAverage="0" equalAverage="0" bottom="0" percent="0" rank="0" text="" dxfId="271">
      <formula>#ref!="TH+ IN"</formula>
    </cfRule>
    <cfRule type="expression" priority="282" aboveAverage="0" equalAverage="0" bottom="0" percent="0" rank="0" text="" dxfId="272">
      <formula>#ref!="NOVA BRASIL"</formula>
    </cfRule>
    <cfRule type="expression" priority="283" aboveAverage="0" equalAverage="0" bottom="0" percent="0" rank="0" text="" dxfId="273">
      <formula>#ref!="DIFUSORA"</formula>
    </cfRule>
  </conditionalFormatting>
  <conditionalFormatting sqref="D178:D179">
    <cfRule type="expression" priority="284" aboveAverage="0" equalAverage="0" bottom="0" percent="0" rank="0" text="" dxfId="274">
      <formula>#ref!="PORTAL"</formula>
    </cfRule>
    <cfRule type="expression" priority="285" aboveAverage="0" equalAverage="0" bottom="0" percent="0" rank="0" text="" dxfId="275">
      <formula>#ref!="RÁDIO 79"</formula>
    </cfRule>
    <cfRule type="expression" priority="286" aboveAverage="0" equalAverage="0" bottom="0" percent="0" rank="0" text="" dxfId="276">
      <formula>#ref!="TH+"</formula>
    </cfRule>
    <cfRule type="expression" priority="287" aboveAverage="0" equalAverage="0" bottom="0" percent="0" rank="0" text="" dxfId="277">
      <formula>#ref!="TH+ IN"</formula>
    </cfRule>
    <cfRule type="expression" priority="288" aboveAverage="0" equalAverage="0" bottom="0" percent="0" rank="0" text="" dxfId="278">
      <formula>#ref!="NOVA BRASIL"</formula>
    </cfRule>
    <cfRule type="expression" priority="289" aboveAverage="0" equalAverage="0" bottom="0" percent="0" rank="0" text="" dxfId="279">
      <formula>#ref!="DIFUSORA"</formula>
    </cfRule>
  </conditionalFormatting>
  <conditionalFormatting sqref="D180">
    <cfRule type="expression" priority="290" aboveAverage="0" equalAverage="0" bottom="0" percent="0" rank="0" text="" dxfId="670">
      <formula>#ref!="PORTAL"</formula>
    </cfRule>
    <cfRule type="expression" priority="291" aboveAverage="0" equalAverage="0" bottom="0" percent="0" rank="0" text="" dxfId="671">
      <formula>#ref!="RÁDIO 79"</formula>
    </cfRule>
    <cfRule type="expression" priority="292" aboveAverage="0" equalAverage="0" bottom="0" percent="0" rank="0" text="" dxfId="672">
      <formula>#ref!="TH+"</formula>
    </cfRule>
    <cfRule type="expression" priority="293" aboveAverage="0" equalAverage="0" bottom="0" percent="0" rank="0" text="" dxfId="673">
      <formula>#ref!="TH+ IN"</formula>
    </cfRule>
    <cfRule type="expression" priority="294" aboveAverage="0" equalAverage="0" bottom="0" percent="0" rank="0" text="" dxfId="674">
      <formula>#ref!="NOVA BRASIL"</formula>
    </cfRule>
    <cfRule type="expression" priority="295" aboveAverage="0" equalAverage="0" bottom="0" percent="0" rank="0" text="" dxfId="675">
      <formula>#ref!="DIFUSORA"</formula>
    </cfRule>
  </conditionalFormatting>
  <conditionalFormatting sqref="D181:D184">
    <cfRule type="expression" priority="296" aboveAverage="0" equalAverage="0" bottom="0" percent="0" rank="0" text="" dxfId="280">
      <formula>#ref!="PORTAL"</formula>
    </cfRule>
    <cfRule type="expression" priority="297" aboveAverage="0" equalAverage="0" bottom="0" percent="0" rank="0" text="" dxfId="281">
      <formula>#ref!="RÁDIO 79"</formula>
    </cfRule>
    <cfRule type="expression" priority="298" aboveAverage="0" equalAverage="0" bottom="0" percent="0" rank="0" text="" dxfId="282">
      <formula>#ref!="TH+"</formula>
    </cfRule>
    <cfRule type="expression" priority="299" aboveAverage="0" equalAverage="0" bottom="0" percent="0" rank="0" text="" dxfId="283">
      <formula>#ref!="TH+ IN"</formula>
    </cfRule>
    <cfRule type="expression" priority="300" aboveAverage="0" equalAverage="0" bottom="0" percent="0" rank="0" text="" dxfId="284">
      <formula>#ref!="NOVA BRASIL"</formula>
    </cfRule>
    <cfRule type="expression" priority="301" aboveAverage="0" equalAverage="0" bottom="0" percent="0" rank="0" text="" dxfId="285">
      <formula>#ref!="DIFUSORA"</formula>
    </cfRule>
  </conditionalFormatting>
  <conditionalFormatting sqref="D185">
    <cfRule type="expression" priority="302" aboveAverage="0" equalAverage="0" bottom="0" percent="0" rank="0" text="" dxfId="286">
      <formula>#ref!="PORTAL"</formula>
    </cfRule>
    <cfRule type="expression" priority="303" aboveAverage="0" equalAverage="0" bottom="0" percent="0" rank="0" text="" dxfId="287">
      <formula>#ref!="RÁDIO 79"</formula>
    </cfRule>
    <cfRule type="expression" priority="304" aboveAverage="0" equalAverage="0" bottom="0" percent="0" rank="0" text="" dxfId="288">
      <formula>#ref!="TH+"</formula>
    </cfRule>
    <cfRule type="expression" priority="305" aboveAverage="0" equalAverage="0" bottom="0" percent="0" rank="0" text="" dxfId="289">
      <formula>#ref!="TH+ IN"</formula>
    </cfRule>
    <cfRule type="expression" priority="306" aboveAverage="0" equalAverage="0" bottom="0" percent="0" rank="0" text="" dxfId="290">
      <formula>#ref!="NOVA BRASIL"</formula>
    </cfRule>
    <cfRule type="expression" priority="307" aboveAverage="0" equalAverage="0" bottom="0" percent="0" rank="0" text="" dxfId="291">
      <formula>#ref!="DIFUSORA"</formula>
    </cfRule>
  </conditionalFormatting>
  <conditionalFormatting sqref="D186">
    <cfRule type="expression" priority="308" aboveAverage="0" equalAverage="0" bottom="0" percent="0" rank="0" text="" dxfId="292">
      <formula>#ref!="PORTAL"</formula>
    </cfRule>
    <cfRule type="expression" priority="309" aboveAverage="0" equalAverage="0" bottom="0" percent="0" rank="0" text="" dxfId="293">
      <formula>#ref!="RÁDIO 79"</formula>
    </cfRule>
    <cfRule type="expression" priority="310" aboveAverage="0" equalAverage="0" bottom="0" percent="0" rank="0" text="" dxfId="294">
      <formula>#ref!="TH+"</formula>
    </cfRule>
    <cfRule type="expression" priority="311" aboveAverage="0" equalAverage="0" bottom="0" percent="0" rank="0" text="" dxfId="295">
      <formula>#ref!="TH+ IN"</formula>
    </cfRule>
    <cfRule type="expression" priority="312" aboveAverage="0" equalAverage="0" bottom="0" percent="0" rank="0" text="" dxfId="296">
      <formula>#ref!="NOVA BRASIL"</formula>
    </cfRule>
    <cfRule type="expression" priority="313" aboveAverage="0" equalAverage="0" bottom="0" percent="0" rank="0" text="" dxfId="297">
      <formula>#ref!="DIFUSORA"</formula>
    </cfRule>
  </conditionalFormatting>
  <conditionalFormatting sqref="D187:D188">
    <cfRule type="expression" priority="314" aboveAverage="0" equalAverage="0" bottom="0" percent="0" rank="0" text="" dxfId="298">
      <formula>#ref!="PORTAL"</formula>
    </cfRule>
    <cfRule type="expression" priority="315" aboveAverage="0" equalAverage="0" bottom="0" percent="0" rank="0" text="" dxfId="299">
      <formula>#ref!="RÁDIO 79"</formula>
    </cfRule>
    <cfRule type="expression" priority="316" aboveAverage="0" equalAverage="0" bottom="0" percent="0" rank="0" text="" dxfId="300">
      <formula>#ref!="TH+"</formula>
    </cfRule>
    <cfRule type="expression" priority="317" aboveAverage="0" equalAverage="0" bottom="0" percent="0" rank="0" text="" dxfId="301">
      <formula>#ref!="TH+ IN"</formula>
    </cfRule>
    <cfRule type="expression" priority="318" aboveAverage="0" equalAverage="0" bottom="0" percent="0" rank="0" text="" dxfId="302">
      <formula>#ref!="NOVA BRASIL"</formula>
    </cfRule>
    <cfRule type="expression" priority="319" aboveAverage="0" equalAverage="0" bottom="0" percent="0" rank="0" text="" dxfId="303">
      <formula>#ref!="DIFUSORA"</formula>
    </cfRule>
  </conditionalFormatting>
  <conditionalFormatting sqref="D198">
    <cfRule type="expression" priority="320" aboveAverage="0" equalAverage="0" bottom="0" percent="0" rank="0" text="" dxfId="700">
      <formula>#ref!="PORTAL"</formula>
    </cfRule>
    <cfRule type="expression" priority="321" aboveAverage="0" equalAverage="0" bottom="0" percent="0" rank="0" text="" dxfId="701">
      <formula>#ref!="RÁDIO 79"</formula>
    </cfRule>
    <cfRule type="expression" priority="322" aboveAverage="0" equalAverage="0" bottom="0" percent="0" rank="0" text="" dxfId="702">
      <formula>#ref!="TH+"</formula>
    </cfRule>
    <cfRule type="expression" priority="323" aboveAverage="0" equalAverage="0" bottom="0" percent="0" rank="0" text="" dxfId="703">
      <formula>#ref!="TH+ IN"</formula>
    </cfRule>
    <cfRule type="expression" priority="324" aboveAverage="0" equalAverage="0" bottom="0" percent="0" rank="0" text="" dxfId="704">
      <formula>#ref!="NOVA BRASIL"</formula>
    </cfRule>
    <cfRule type="expression" priority="325" aboveAverage="0" equalAverage="0" bottom="0" percent="0" rank="0" text="" dxfId="705">
      <formula>#ref!="DIFUSORA"</formula>
    </cfRule>
  </conditionalFormatting>
  <conditionalFormatting sqref="D216">
    <cfRule type="expression" priority="326" aboveAverage="0" equalAverage="0" bottom="0" percent="0" rank="0" text="" dxfId="736">
      <formula>#ref!="PORTAL"</formula>
    </cfRule>
    <cfRule type="expression" priority="327" aboveAverage="0" equalAverage="0" bottom="0" percent="0" rank="0" text="" dxfId="737">
      <formula>#ref!="RÁDIO 79"</formula>
    </cfRule>
    <cfRule type="expression" priority="328" aboveAverage="0" equalAverage="0" bottom="0" percent="0" rank="0" text="" dxfId="738">
      <formula>#ref!="TH+"</formula>
    </cfRule>
    <cfRule type="expression" priority="329" aboveAverage="0" equalAverage="0" bottom="0" percent="0" rank="0" text="" dxfId="739">
      <formula>#ref!="TH+ IN"</formula>
    </cfRule>
    <cfRule type="expression" priority="330" aboveAverage="0" equalAverage="0" bottom="0" percent="0" rank="0" text="" dxfId="740">
      <formula>#ref!="NOVA BRASIL"</formula>
    </cfRule>
    <cfRule type="expression" priority="331" aboveAverage="0" equalAverage="0" bottom="0" percent="0" rank="0" text="" dxfId="741">
      <formula>#ref!="DIFUSORA"</formula>
    </cfRule>
  </conditionalFormatting>
  <conditionalFormatting sqref="D217">
    <cfRule type="expression" priority="332" aboveAverage="0" equalAverage="0" bottom="0" percent="0" rank="0" text="" dxfId="604">
      <formula>#ref!="PORTAL"</formula>
    </cfRule>
    <cfRule type="expression" priority="333" aboveAverage="0" equalAverage="0" bottom="0" percent="0" rank="0" text="" dxfId="605">
      <formula>#ref!="TH+ PRIME"</formula>
    </cfRule>
    <cfRule type="expression" priority="334" aboveAverage="0" equalAverage="0" bottom="0" percent="0" rank="0" text="" dxfId="606">
      <formula>#ref!="TH+"</formula>
    </cfRule>
    <cfRule type="expression" priority="335" aboveAverage="0" equalAverage="0" bottom="0" percent="0" rank="0" text="" dxfId="607">
      <formula>#ref!="TH+ IN"</formula>
    </cfRule>
    <cfRule type="expression" priority="336" aboveAverage="0" equalAverage="0" bottom="0" percent="0" rank="0" text="" dxfId="608">
      <formula>#ref!="NOVA BRASIL"</formula>
    </cfRule>
    <cfRule type="expression" priority="337" aboveAverage="0" equalAverage="0" bottom="0" percent="0" rank="0" text="" dxfId="609">
      <formula>#ref!="DIFUSORA"</formula>
    </cfRule>
  </conditionalFormatting>
  <conditionalFormatting sqref="G177 G173 G118:G167 G189:G197 G199:G215 G218:G225">
    <cfRule type="expression" priority="338" aboveAverage="0" equalAverage="0" bottom="0" percent="0" rank="0" text="" dxfId="88">
      <formula>$D118="PORTAL"</formula>
    </cfRule>
    <cfRule type="expression" priority="339" aboveAverage="0" equalAverage="0" bottom="0" percent="0" rank="0" text="" dxfId="89">
      <formula>$D118="TH+ IN"</formula>
    </cfRule>
    <cfRule type="expression" priority="340" aboveAverage="0" equalAverage="0" bottom="0" percent="0" rank="0" text="" dxfId="90">
      <formula>$D118="RÁDIO 79"</formula>
    </cfRule>
    <cfRule type="expression" priority="341" aboveAverage="0" equalAverage="0" bottom="0" percent="0" rank="0" text="" dxfId="91">
      <formula>$D118="TH+"</formula>
    </cfRule>
    <cfRule type="expression" priority="342" aboveAverage="0" equalAverage="0" bottom="0" percent="0" rank="0" text="" dxfId="92">
      <formula>$D118="NOVA BRASIL"</formula>
    </cfRule>
    <cfRule type="expression" priority="343" aboveAverage="0" equalAverage="0" bottom="0" percent="0" rank="0" text="" dxfId="93">
      <formula>$D118="DIFUSORA"</formula>
    </cfRule>
  </conditionalFormatting>
  <conditionalFormatting sqref="G168">
    <cfRule type="expression" priority="344" aboveAverage="0" equalAverage="0" bottom="0" percent="0" rank="0" text="" dxfId="304">
      <formula>$D168="PORTAL"</formula>
    </cfRule>
    <cfRule type="expression" priority="345" aboveAverage="0" equalAverage="0" bottom="0" percent="0" rank="0" text="" dxfId="305">
      <formula>$D168="RÁDIO 79"</formula>
    </cfRule>
    <cfRule type="expression" priority="346" aboveAverage="0" equalAverage="0" bottom="0" percent="0" rank="0" text="" dxfId="306">
      <formula>$D168="TH+"</formula>
    </cfRule>
    <cfRule type="expression" priority="347" aboveAverage="0" equalAverage="0" bottom="0" percent="0" rank="0" text="" dxfId="307">
      <formula>$D168="TH+ IN"</formula>
    </cfRule>
    <cfRule type="expression" priority="348" aboveAverage="0" equalAverage="0" bottom="0" percent="0" rank="0" text="" dxfId="308">
      <formula>$D168="NOVA BRASIL"</formula>
    </cfRule>
    <cfRule type="expression" priority="349" aboveAverage="0" equalAverage="0" bottom="0" percent="0" rank="0" text="" dxfId="309">
      <formula>$D168="DIFUSORA"</formula>
    </cfRule>
  </conditionalFormatting>
  <conditionalFormatting sqref="G169">
    <cfRule type="expression" priority="350" aboveAverage="0" equalAverage="0" bottom="0" percent="0" rank="0" text="" dxfId="310">
      <formula>$D169="PORTAL"</formula>
    </cfRule>
    <cfRule type="expression" priority="351" aboveAverage="0" equalAverage="0" bottom="0" percent="0" rank="0" text="" dxfId="311">
      <formula>$D169="RÁDIO 79"</formula>
    </cfRule>
    <cfRule type="expression" priority="352" aboveAverage="0" equalAverage="0" bottom="0" percent="0" rank="0" text="" dxfId="312">
      <formula>$D169="TH+"</formula>
    </cfRule>
    <cfRule type="expression" priority="353" aboveAverage="0" equalAverage="0" bottom="0" percent="0" rank="0" text="" dxfId="313">
      <formula>$D169="TH+ IN"</formula>
    </cfRule>
    <cfRule type="expression" priority="354" aboveAverage="0" equalAverage="0" bottom="0" percent="0" rank="0" text="" dxfId="314">
      <formula>$D169="NOVA BRASIL"</formula>
    </cfRule>
    <cfRule type="expression" priority="355" aboveAverage="0" equalAverage="0" bottom="0" percent="0" rank="0" text="" dxfId="315">
      <formula>$D169="DIFUSORA"</formula>
    </cfRule>
  </conditionalFormatting>
  <conditionalFormatting sqref="G167">
    <cfRule type="expression" priority="356" aboveAverage="0" equalAverage="0" bottom="0" percent="0" rank="0" text="" dxfId="316">
      <formula>$D167="PORTAL"</formula>
    </cfRule>
    <cfRule type="expression" priority="357" aboveAverage="0" equalAverage="0" bottom="0" percent="0" rank="0" text="" dxfId="317">
      <formula>$D167="RÁDIO 79"</formula>
    </cfRule>
    <cfRule type="expression" priority="358" aboveAverage="0" equalAverage="0" bottom="0" percent="0" rank="0" text="" dxfId="318">
      <formula>$D167="TH+"</formula>
    </cfRule>
    <cfRule type="expression" priority="359" aboveAverage="0" equalAverage="0" bottom="0" percent="0" rank="0" text="" dxfId="319">
      <formula>$D167="TH+ IN"</formula>
    </cfRule>
    <cfRule type="expression" priority="360" aboveAverage="0" equalAverage="0" bottom="0" percent="0" rank="0" text="" dxfId="320">
      <formula>$D167="NOVA BRASIL"</formula>
    </cfRule>
    <cfRule type="expression" priority="361" aboveAverage="0" equalAverage="0" bottom="0" percent="0" rank="0" text="" dxfId="321">
      <formula>$D167="DIFUSORA"</formula>
    </cfRule>
  </conditionalFormatting>
  <conditionalFormatting sqref="G168">
    <cfRule type="expression" priority="362" aboveAverage="0" equalAverage="0" bottom="0" percent="0" rank="0" text="" dxfId="322">
      <formula>$D168="PORTAL"</formula>
    </cfRule>
    <cfRule type="expression" priority="363" aboveAverage="0" equalAverage="0" bottom="0" percent="0" rank="0" text="" dxfId="323">
      <formula>$D168="RÁDIO 79"</formula>
    </cfRule>
    <cfRule type="expression" priority="364" aboveAverage="0" equalAverage="0" bottom="0" percent="0" rank="0" text="" dxfId="324">
      <formula>$D168="TH+"</formula>
    </cfRule>
    <cfRule type="expression" priority="365" aboveAverage="0" equalAverage="0" bottom="0" percent="0" rank="0" text="" dxfId="325">
      <formula>$D168="TH+ IN"</formula>
    </cfRule>
    <cfRule type="expression" priority="366" aboveAverage="0" equalAverage="0" bottom="0" percent="0" rank="0" text="" dxfId="326">
      <formula>$D168="NOVA BRASIL"</formula>
    </cfRule>
    <cfRule type="expression" priority="367" aboveAverage="0" equalAverage="0" bottom="0" percent="0" rank="0" text="" dxfId="327">
      <formula>$D168="DIFUSORA"</formula>
    </cfRule>
  </conditionalFormatting>
  <conditionalFormatting sqref="G169">
    <cfRule type="expression" priority="368" aboveAverage="0" equalAverage="0" bottom="0" percent="0" rank="0" text="" dxfId="328">
      <formula>$D169="PORTAL"</formula>
    </cfRule>
    <cfRule type="expression" priority="369" aboveAverage="0" equalAverage="0" bottom="0" percent="0" rank="0" text="" dxfId="329">
      <formula>$D169="RÁDIO 79"</formula>
    </cfRule>
    <cfRule type="expression" priority="370" aboveAverage="0" equalAverage="0" bottom="0" percent="0" rank="0" text="" dxfId="330">
      <formula>$D169="TH+"</formula>
    </cfRule>
    <cfRule type="expression" priority="371" aboveAverage="0" equalAverage="0" bottom="0" percent="0" rank="0" text="" dxfId="331">
      <formula>$D169="TH+ IN"</formula>
    </cfRule>
    <cfRule type="expression" priority="372" aboveAverage="0" equalAverage="0" bottom="0" percent="0" rank="0" text="" dxfId="332">
      <formula>$D169="NOVA BRASIL"</formula>
    </cfRule>
    <cfRule type="expression" priority="373" aboveAverage="0" equalAverage="0" bottom="0" percent="0" rank="0" text="" dxfId="333">
      <formula>$D169="DIFUSORA"</formula>
    </cfRule>
  </conditionalFormatting>
  <conditionalFormatting sqref="G170">
    <cfRule type="expression" priority="374" aboveAverage="0" equalAverage="0" bottom="0" percent="0" rank="0" text="" dxfId="334">
      <formula>$D170="PORTAL"</formula>
    </cfRule>
    <cfRule type="expression" priority="375" aboveAverage="0" equalAverage="0" bottom="0" percent="0" rank="0" text="" dxfId="335">
      <formula>$D170="RÁDIO 79"</formula>
    </cfRule>
    <cfRule type="expression" priority="376" aboveAverage="0" equalAverage="0" bottom="0" percent="0" rank="0" text="" dxfId="336">
      <formula>$D170="TH+"</formula>
    </cfRule>
    <cfRule type="expression" priority="377" aboveAverage="0" equalAverage="0" bottom="0" percent="0" rank="0" text="" dxfId="337">
      <formula>$D170="TH+ IN"</formula>
    </cfRule>
    <cfRule type="expression" priority="378" aboveAverage="0" equalAverage="0" bottom="0" percent="0" rank="0" text="" dxfId="338">
      <formula>$D170="NOVA BRASIL"</formula>
    </cfRule>
    <cfRule type="expression" priority="379" aboveAverage="0" equalAverage="0" bottom="0" percent="0" rank="0" text="" dxfId="339">
      <formula>$D170="DIFUSORA"</formula>
    </cfRule>
  </conditionalFormatting>
  <conditionalFormatting sqref="G171">
    <cfRule type="expression" priority="380" aboveAverage="0" equalAverage="0" bottom="0" percent="0" rank="0" text="" dxfId="340">
      <formula>$D171="PORTAL"</formula>
    </cfRule>
    <cfRule type="expression" priority="381" aboveAverage="0" equalAverage="0" bottom="0" percent="0" rank="0" text="" dxfId="341">
      <formula>$D171="RÁDIO 79"</formula>
    </cfRule>
    <cfRule type="expression" priority="382" aboveAverage="0" equalAverage="0" bottom="0" percent="0" rank="0" text="" dxfId="342">
      <formula>$D171="TH+"</formula>
    </cfRule>
    <cfRule type="expression" priority="383" aboveAverage="0" equalAverage="0" bottom="0" percent="0" rank="0" text="" dxfId="343">
      <formula>$D171="TH+ IN"</formula>
    </cfRule>
    <cfRule type="expression" priority="384" aboveAverage="0" equalAverage="0" bottom="0" percent="0" rank="0" text="" dxfId="344">
      <formula>$D171="NOVA BRASIL"</formula>
    </cfRule>
    <cfRule type="expression" priority="385" aboveAverage="0" equalAverage="0" bottom="0" percent="0" rank="0" text="" dxfId="345">
      <formula>$D171="DIFUSORA"</formula>
    </cfRule>
  </conditionalFormatting>
  <conditionalFormatting sqref="G172">
    <cfRule type="expression" priority="386" aboveAverage="0" equalAverage="0" bottom="0" percent="0" rank="0" text="" dxfId="346">
      <formula>$D172="PORTAL"</formula>
    </cfRule>
    <cfRule type="expression" priority="387" aboveAverage="0" equalAverage="0" bottom="0" percent="0" rank="0" text="" dxfId="347">
      <formula>$D172="RÁDIO 79"</formula>
    </cfRule>
    <cfRule type="expression" priority="388" aboveAverage="0" equalAverage="0" bottom="0" percent="0" rank="0" text="" dxfId="348">
      <formula>$D172="TH+"</formula>
    </cfRule>
    <cfRule type="expression" priority="389" aboveAverage="0" equalAverage="0" bottom="0" percent="0" rank="0" text="" dxfId="349">
      <formula>$D172="TH+ IN"</formula>
    </cfRule>
    <cfRule type="expression" priority="390" aboveAverage="0" equalAverage="0" bottom="0" percent="0" rank="0" text="" dxfId="350">
      <formula>$D172="NOVA BRASIL"</formula>
    </cfRule>
    <cfRule type="expression" priority="391" aboveAverage="0" equalAverage="0" bottom="0" percent="0" rank="0" text="" dxfId="351">
      <formula>$D172="DIFUSORA"</formula>
    </cfRule>
  </conditionalFormatting>
  <conditionalFormatting sqref="G174">
    <cfRule type="expression" priority="392" aboveAverage="0" equalAverage="0" bottom="0" percent="0" rank="0" text="" dxfId="352">
      <formula>$D174="PORTAL"</formula>
    </cfRule>
    <cfRule type="expression" priority="393" aboveAverage="0" equalAverage="0" bottom="0" percent="0" rank="0" text="" dxfId="353">
      <formula>$D174="RÁDIO 79"</formula>
    </cfRule>
    <cfRule type="expression" priority="394" aboveAverage="0" equalAverage="0" bottom="0" percent="0" rank="0" text="" dxfId="354">
      <formula>$D174="TH+"</formula>
    </cfRule>
    <cfRule type="expression" priority="395" aboveAverage="0" equalAverage="0" bottom="0" percent="0" rank="0" text="" dxfId="355">
      <formula>$D174="TH+ IN"</formula>
    </cfRule>
    <cfRule type="expression" priority="396" aboveAverage="0" equalAverage="0" bottom="0" percent="0" rank="0" text="" dxfId="356">
      <formula>$D174="NOVA BRASIL"</formula>
    </cfRule>
    <cfRule type="expression" priority="397" aboveAverage="0" equalAverage="0" bottom="0" percent="0" rank="0" text="" dxfId="357">
      <formula>$D174="DIFUSORA"</formula>
    </cfRule>
  </conditionalFormatting>
  <conditionalFormatting sqref="G175">
    <cfRule type="expression" priority="398" aboveAverage="0" equalAverage="0" bottom="0" percent="0" rank="0" text="" dxfId="358">
      <formula>$D175="PORTAL"</formula>
    </cfRule>
    <cfRule type="expression" priority="399" aboveAverage="0" equalAverage="0" bottom="0" percent="0" rank="0" text="" dxfId="359">
      <formula>$D175="RÁDIO 79"</formula>
    </cfRule>
    <cfRule type="expression" priority="400" aboveAverage="0" equalAverage="0" bottom="0" percent="0" rank="0" text="" dxfId="360">
      <formula>$D175="TH+"</formula>
    </cfRule>
    <cfRule type="expression" priority="401" aboveAverage="0" equalAverage="0" bottom="0" percent="0" rank="0" text="" dxfId="361">
      <formula>$D175="TH+ IN"</formula>
    </cfRule>
    <cfRule type="expression" priority="402" aboveAverage="0" equalAverage="0" bottom="0" percent="0" rank="0" text="" dxfId="362">
      <formula>$D175="NOVA BRASIL"</formula>
    </cfRule>
    <cfRule type="expression" priority="403" aboveAverage="0" equalAverage="0" bottom="0" percent="0" rank="0" text="" dxfId="363">
      <formula>$D175="DIFUSORA"</formula>
    </cfRule>
  </conditionalFormatting>
  <conditionalFormatting sqref="G176">
    <cfRule type="expression" priority="404" aboveAverage="0" equalAverage="0" bottom="0" percent="0" rank="0" text="" dxfId="364">
      <formula>$D176="PORTAL"</formula>
    </cfRule>
    <cfRule type="expression" priority="405" aboveAverage="0" equalAverage="0" bottom="0" percent="0" rank="0" text="" dxfId="365">
      <formula>$D176="RÁDIO 79"</formula>
    </cfRule>
    <cfRule type="expression" priority="406" aboveAverage="0" equalAverage="0" bottom="0" percent="0" rank="0" text="" dxfId="366">
      <formula>$D176="TH+"</formula>
    </cfRule>
    <cfRule type="expression" priority="407" aboveAverage="0" equalAverage="0" bottom="0" percent="0" rank="0" text="" dxfId="367">
      <formula>$D176="TH+ IN"</formula>
    </cfRule>
    <cfRule type="expression" priority="408" aboveAverage="0" equalAverage="0" bottom="0" percent="0" rank="0" text="" dxfId="368">
      <formula>$D176="NOVA BRASIL"</formula>
    </cfRule>
    <cfRule type="expression" priority="409" aboveAverage="0" equalAverage="0" bottom="0" percent="0" rank="0" text="" dxfId="369">
      <formula>$D176="DIFUSORA"</formula>
    </cfRule>
  </conditionalFormatting>
  <conditionalFormatting sqref="G178:G179">
    <cfRule type="expression" priority="410" aboveAverage="0" equalAverage="0" bottom="0" percent="0" rank="0" text="" dxfId="370">
      <formula>$D178="PORTAL"</formula>
    </cfRule>
    <cfRule type="expression" priority="411" aboveAverage="0" equalAverage="0" bottom="0" percent="0" rank="0" text="" dxfId="371">
      <formula>$D178="RÁDIO 79"</formula>
    </cfRule>
    <cfRule type="expression" priority="412" aboveAverage="0" equalAverage="0" bottom="0" percent="0" rank="0" text="" dxfId="372">
      <formula>$D178="TH+"</formula>
    </cfRule>
    <cfRule type="expression" priority="413" aboveAverage="0" equalAverage="0" bottom="0" percent="0" rank="0" text="" dxfId="373">
      <formula>$D178="TH+ IN"</formula>
    </cfRule>
    <cfRule type="expression" priority="414" aboveAverage="0" equalAverage="0" bottom="0" percent="0" rank="0" text="" dxfId="374">
      <formula>$D178="NOVA BRASIL"</formula>
    </cfRule>
    <cfRule type="expression" priority="415" aboveAverage="0" equalAverage="0" bottom="0" percent="0" rank="0" text="" dxfId="375">
      <formula>$D178="DIFUSORA"</formula>
    </cfRule>
  </conditionalFormatting>
  <conditionalFormatting sqref="G180">
    <cfRule type="expression" priority="416" aboveAverage="0" equalAverage="0" bottom="0" percent="0" rank="0" text="" dxfId="676">
      <formula>$D180="PORTAL"</formula>
    </cfRule>
    <cfRule type="expression" priority="417" aboveAverage="0" equalAverage="0" bottom="0" percent="0" rank="0" text="" dxfId="677">
      <formula>$D180="RÁDIO 79"</formula>
    </cfRule>
    <cfRule type="expression" priority="418" aboveAverage="0" equalAverage="0" bottom="0" percent="0" rank="0" text="" dxfId="678">
      <formula>$D180="TH+"</formula>
    </cfRule>
    <cfRule type="expression" priority="419" aboveAverage="0" equalAverage="0" bottom="0" percent="0" rank="0" text="" dxfId="679">
      <formula>$D180="TH+ IN"</formula>
    </cfRule>
    <cfRule type="expression" priority="420" aboveAverage="0" equalAverage="0" bottom="0" percent="0" rank="0" text="" dxfId="680">
      <formula>$D180="NOVA BRASIL"</formula>
    </cfRule>
    <cfRule type="expression" priority="421" aboveAverage="0" equalAverage="0" bottom="0" percent="0" rank="0" text="" dxfId="681">
      <formula>$D180="DIFUSORA"</formula>
    </cfRule>
  </conditionalFormatting>
  <conditionalFormatting sqref="G181:G184">
    <cfRule type="expression" priority="422" aboveAverage="0" equalAverage="0" bottom="0" percent="0" rank="0" text="" dxfId="376">
      <formula>$D181="PORTAL"</formula>
    </cfRule>
    <cfRule type="expression" priority="423" aboveAverage="0" equalAverage="0" bottom="0" percent="0" rank="0" text="" dxfId="377">
      <formula>$D181="RÁDIO 79"</formula>
    </cfRule>
    <cfRule type="expression" priority="424" aboveAverage="0" equalAverage="0" bottom="0" percent="0" rank="0" text="" dxfId="378">
      <formula>$D181="TH+"</formula>
    </cfRule>
    <cfRule type="expression" priority="425" aboveAverage="0" equalAverage="0" bottom="0" percent="0" rank="0" text="" dxfId="379">
      <formula>$D181="TH+ IN"</formula>
    </cfRule>
    <cfRule type="expression" priority="426" aboveAverage="0" equalAverage="0" bottom="0" percent="0" rank="0" text="" dxfId="380">
      <formula>$D181="NOVA BRASIL"</formula>
    </cfRule>
    <cfRule type="expression" priority="427" aboveAverage="0" equalAverage="0" bottom="0" percent="0" rank="0" text="" dxfId="381">
      <formula>$D181="DIFUSORA"</formula>
    </cfRule>
  </conditionalFormatting>
  <conditionalFormatting sqref="G185">
    <cfRule type="expression" priority="428" aboveAverage="0" equalAverage="0" bottom="0" percent="0" rank="0" text="" dxfId="382">
      <formula>$D185="PORTAL"</formula>
    </cfRule>
    <cfRule type="expression" priority="429" aboveAverage="0" equalAverage="0" bottom="0" percent="0" rank="0" text="" dxfId="383">
      <formula>$D185="RÁDIO 79"</formula>
    </cfRule>
    <cfRule type="expression" priority="430" aboveAverage="0" equalAverage="0" bottom="0" percent="0" rank="0" text="" dxfId="384">
      <formula>$D185="TH+"</formula>
    </cfRule>
    <cfRule type="expression" priority="431" aboveAverage="0" equalAverage="0" bottom="0" percent="0" rank="0" text="" dxfId="385">
      <formula>$D185="TH+ IN"</formula>
    </cfRule>
    <cfRule type="expression" priority="432" aboveAverage="0" equalAverage="0" bottom="0" percent="0" rank="0" text="" dxfId="386">
      <formula>$D185="NOVA BRASIL"</formula>
    </cfRule>
    <cfRule type="expression" priority="433" aboveAverage="0" equalAverage="0" bottom="0" percent="0" rank="0" text="" dxfId="387">
      <formula>$D185="DIFUSORA"</formula>
    </cfRule>
  </conditionalFormatting>
  <conditionalFormatting sqref="G186">
    <cfRule type="expression" priority="434" aboveAverage="0" equalAverage="0" bottom="0" percent="0" rank="0" text="" dxfId="388">
      <formula>$D186="PORTAL"</formula>
    </cfRule>
    <cfRule type="expression" priority="435" aboveAverage="0" equalAverage="0" bottom="0" percent="0" rank="0" text="" dxfId="389">
      <formula>$D186="RÁDIO 79"</formula>
    </cfRule>
    <cfRule type="expression" priority="436" aboveAverage="0" equalAverage="0" bottom="0" percent="0" rank="0" text="" dxfId="390">
      <formula>$D186="TH+"</formula>
    </cfRule>
    <cfRule type="expression" priority="437" aboveAverage="0" equalAverage="0" bottom="0" percent="0" rank="0" text="" dxfId="391">
      <formula>$D186="TH+ IN"</formula>
    </cfRule>
    <cfRule type="expression" priority="438" aboveAverage="0" equalAverage="0" bottom="0" percent="0" rank="0" text="" dxfId="392">
      <formula>$D186="NOVA BRASIL"</formula>
    </cfRule>
    <cfRule type="expression" priority="439" aboveAverage="0" equalAverage="0" bottom="0" percent="0" rank="0" text="" dxfId="393">
      <formula>$D186="DIFUSORA"</formula>
    </cfRule>
  </conditionalFormatting>
  <conditionalFormatting sqref="G187:G188">
    <cfRule type="expression" priority="440" aboveAverage="0" equalAverage="0" bottom="0" percent="0" rank="0" text="" dxfId="394">
      <formula>$D187="PORTAL"</formula>
    </cfRule>
    <cfRule type="expression" priority="441" aboveAverage="0" equalAverage="0" bottom="0" percent="0" rank="0" text="" dxfId="395">
      <formula>$D187="RÁDIO 79"</formula>
    </cfRule>
    <cfRule type="expression" priority="442" aboveAverage="0" equalAverage="0" bottom="0" percent="0" rank="0" text="" dxfId="396">
      <formula>$D187="TH+"</formula>
    </cfRule>
    <cfRule type="expression" priority="443" aboveAverage="0" equalAverage="0" bottom="0" percent="0" rank="0" text="" dxfId="397">
      <formula>$D187="TH+ IN"</formula>
    </cfRule>
    <cfRule type="expression" priority="444" aboveAverage="0" equalAverage="0" bottom="0" percent="0" rank="0" text="" dxfId="398">
      <formula>$D187="NOVA BRASIL"</formula>
    </cfRule>
    <cfRule type="expression" priority="445" aboveAverage="0" equalAverage="0" bottom="0" percent="0" rank="0" text="" dxfId="399">
      <formula>$D187="DIFUSORA"</formula>
    </cfRule>
  </conditionalFormatting>
  <conditionalFormatting sqref="G198">
    <cfRule type="expression" priority="446" aboveAverage="0" equalAverage="0" bottom="0" percent="0" rank="0" text="" dxfId="706">
      <formula>$D198="PORTAL"</formula>
    </cfRule>
    <cfRule type="expression" priority="447" aboveAverage="0" equalAverage="0" bottom="0" percent="0" rank="0" text="" dxfId="707">
      <formula>$D198="RÁDIO 79"</formula>
    </cfRule>
    <cfRule type="expression" priority="448" aboveAverage="0" equalAverage="0" bottom="0" percent="0" rank="0" text="" dxfId="708">
      <formula>$D198="TH+"</formula>
    </cfRule>
    <cfRule type="expression" priority="449" aboveAverage="0" equalAverage="0" bottom="0" percent="0" rank="0" text="" dxfId="709">
      <formula>$D198="TH+ IN"</formula>
    </cfRule>
    <cfRule type="expression" priority="450" aboveAverage="0" equalAverage="0" bottom="0" percent="0" rank="0" text="" dxfId="710">
      <formula>$D198="NOVA BRASIL"</formula>
    </cfRule>
    <cfRule type="expression" priority="451" aboveAverage="0" equalAverage="0" bottom="0" percent="0" rank="0" text="" dxfId="711">
      <formula>$D198="DIFUSORA"</formula>
    </cfRule>
  </conditionalFormatting>
  <conditionalFormatting sqref="G216">
    <cfRule type="expression" priority="452" aboveAverage="0" equalAverage="0" bottom="0" percent="0" rank="0" text="" dxfId="742">
      <formula>$D216="PORTAL"</formula>
    </cfRule>
    <cfRule type="expression" priority="453" aboveAverage="0" equalAverage="0" bottom="0" percent="0" rank="0" text="" dxfId="743">
      <formula>$D216="RÁDIO 79"</formula>
    </cfRule>
    <cfRule type="expression" priority="454" aboveAverage="0" equalAverage="0" bottom="0" percent="0" rank="0" text="" dxfId="744">
      <formula>$D216="TH+"</formula>
    </cfRule>
    <cfRule type="expression" priority="455" aboveAverage="0" equalAverage="0" bottom="0" percent="0" rank="0" text="" dxfId="745">
      <formula>$D216="TH+ IN"</formula>
    </cfRule>
    <cfRule type="expression" priority="456" aboveAverage="0" equalAverage="0" bottom="0" percent="0" rank="0" text="" dxfId="746">
      <formula>$D216="NOVA BRASIL"</formula>
    </cfRule>
    <cfRule type="expression" priority="457" aboveAverage="0" equalAverage="0" bottom="0" percent="0" rank="0" text="" dxfId="747">
      <formula>$D216="DIFUSORA"</formula>
    </cfRule>
  </conditionalFormatting>
  <conditionalFormatting sqref="G217">
    <cfRule type="expression" priority="458" aboveAverage="0" equalAverage="0" bottom="0" percent="0" rank="0" text="" dxfId="610">
      <formula>$D217="PORTAL"</formula>
    </cfRule>
    <cfRule type="expression" priority="459" aboveAverage="0" equalAverage="0" bottom="0" percent="0" rank="0" text="" dxfId="611">
      <formula>$D217="TH+ PRIME"</formula>
    </cfRule>
    <cfRule type="expression" priority="460" aboveAverage="0" equalAverage="0" bottom="0" percent="0" rank="0" text="" dxfId="612">
      <formula>$D217="TH+"</formula>
    </cfRule>
    <cfRule type="expression" priority="461" aboveAverage="0" equalAverage="0" bottom="0" percent="0" rank="0" text="" dxfId="613">
      <formula>$D217="TH+ IN"</formula>
    </cfRule>
    <cfRule type="expression" priority="462" aboveAverage="0" equalAverage="0" bottom="0" percent="0" rank="0" text="" dxfId="614">
      <formula>$D217="NOVA BRASIL"</formula>
    </cfRule>
    <cfRule type="expression" priority="463" aboveAverage="0" equalAverage="0" bottom="0" percent="0" rank="0" text="" dxfId="615">
      <formula>$D217="DIFUSORA"</formula>
    </cfRule>
  </conditionalFormatting>
  <conditionalFormatting sqref="L173 L199:L214 L118:L167 L218:L225">
    <cfRule type="expression" priority="464" aboveAverage="0" equalAverage="0" bottom="0" percent="0" rank="0" text="" dxfId="94">
      <formula>$D118="PORTAL"</formula>
    </cfRule>
    <cfRule type="expression" priority="465" aboveAverage="0" equalAverage="0" bottom="0" percent="0" rank="0" text="" dxfId="95">
      <formula>$D118="TH+ IN"</formula>
    </cfRule>
    <cfRule type="expression" priority="466" aboveAverage="0" equalAverage="0" bottom="0" percent="0" rank="0" text="" dxfId="96">
      <formula>$D118="RÁDIO 79"</formula>
    </cfRule>
    <cfRule type="expression" priority="467" aboveAverage="0" equalAverage="0" bottom="0" percent="0" rank="0" text="" dxfId="97">
      <formula>$D118="TH+"</formula>
    </cfRule>
    <cfRule type="expression" priority="468" aboveAverage="0" equalAverage="0" bottom="0" percent="0" rank="0" text="" dxfId="98">
      <formula>$D118="NOVA BRASIL"</formula>
    </cfRule>
    <cfRule type="expression" priority="469" aboveAverage="0" equalAverage="0" bottom="0" percent="0" rank="0" text="" dxfId="99">
      <formula>$D118="DIFUSORA"</formula>
    </cfRule>
  </conditionalFormatting>
  <conditionalFormatting sqref="L168">
    <cfRule type="expression" priority="470" aboveAverage="0" equalAverage="0" bottom="0" percent="0" rank="0" text="" dxfId="400">
      <formula>$D168="PORTAL"</formula>
    </cfRule>
    <cfRule type="expression" priority="471" aboveAverage="0" equalAverage="0" bottom="0" percent="0" rank="0" text="" dxfId="401">
      <formula>$D168="RÁDIO 79"</formula>
    </cfRule>
    <cfRule type="expression" priority="472" aboveAverage="0" equalAverage="0" bottom="0" percent="0" rank="0" text="" dxfId="402">
      <formula>$D168="TH+"</formula>
    </cfRule>
    <cfRule type="expression" priority="473" aboveAverage="0" equalAverage="0" bottom="0" percent="0" rank="0" text="" dxfId="403">
      <formula>$D168="TH+ IN"</formula>
    </cfRule>
    <cfRule type="expression" priority="474" aboveAverage="0" equalAverage="0" bottom="0" percent="0" rank="0" text="" dxfId="404">
      <formula>$D168="NOVA BRASIL"</formula>
    </cfRule>
    <cfRule type="expression" priority="475" aboveAverage="0" equalAverage="0" bottom="0" percent="0" rank="0" text="" dxfId="405">
      <formula>$D168="DIFUSORA"</formula>
    </cfRule>
  </conditionalFormatting>
  <conditionalFormatting sqref="L169">
    <cfRule type="expression" priority="476" aboveAverage="0" equalAverage="0" bottom="0" percent="0" rank="0" text="" dxfId="406">
      <formula>$D169="PORTAL"</formula>
    </cfRule>
    <cfRule type="expression" priority="477" aboveAverage="0" equalAverage="0" bottom="0" percent="0" rank="0" text="" dxfId="407">
      <formula>$D169="RÁDIO 79"</formula>
    </cfRule>
    <cfRule type="expression" priority="478" aboveAverage="0" equalAverage="0" bottom="0" percent="0" rank="0" text="" dxfId="408">
      <formula>$D169="TH+"</formula>
    </cfRule>
    <cfRule type="expression" priority="479" aboveAverage="0" equalAverage="0" bottom="0" percent="0" rank="0" text="" dxfId="409">
      <formula>$D169="TH+ IN"</formula>
    </cfRule>
    <cfRule type="expression" priority="480" aboveAverage="0" equalAverage="0" bottom="0" percent="0" rank="0" text="" dxfId="410">
      <formula>$D169="NOVA BRASIL"</formula>
    </cfRule>
    <cfRule type="expression" priority="481" aboveAverage="0" equalAverage="0" bottom="0" percent="0" rank="0" text="" dxfId="411">
      <formula>$D169="DIFUSORA"</formula>
    </cfRule>
  </conditionalFormatting>
  <conditionalFormatting sqref="L167">
    <cfRule type="expression" priority="482" aboveAverage="0" equalAverage="0" bottom="0" percent="0" rank="0" text="" dxfId="412">
      <formula>$D167="PORTAL"</formula>
    </cfRule>
    <cfRule type="expression" priority="483" aboveAverage="0" equalAverage="0" bottom="0" percent="0" rank="0" text="" dxfId="413">
      <formula>$D167="RÁDIO 79"</formula>
    </cfRule>
    <cfRule type="expression" priority="484" aboveAverage="0" equalAverage="0" bottom="0" percent="0" rank="0" text="" dxfId="414">
      <formula>$D167="TH+"</formula>
    </cfRule>
    <cfRule type="expression" priority="485" aboveAverage="0" equalAverage="0" bottom="0" percent="0" rank="0" text="" dxfId="415">
      <formula>$D167="TH+ IN"</formula>
    </cfRule>
    <cfRule type="expression" priority="486" aboveAverage="0" equalAverage="0" bottom="0" percent="0" rank="0" text="" dxfId="416">
      <formula>$D167="NOVA BRASIL"</formula>
    </cfRule>
    <cfRule type="expression" priority="487" aboveAverage="0" equalAverage="0" bottom="0" percent="0" rank="0" text="" dxfId="417">
      <formula>$D167="DIFUSORA"</formula>
    </cfRule>
  </conditionalFormatting>
  <conditionalFormatting sqref="L168">
    <cfRule type="expression" priority="488" aboveAverage="0" equalAverage="0" bottom="0" percent="0" rank="0" text="" dxfId="418">
      <formula>$D168="PORTAL"</formula>
    </cfRule>
    <cfRule type="expression" priority="489" aboveAverage="0" equalAverage="0" bottom="0" percent="0" rank="0" text="" dxfId="419">
      <formula>$D168="RÁDIO 79"</formula>
    </cfRule>
    <cfRule type="expression" priority="490" aboveAverage="0" equalAverage="0" bottom="0" percent="0" rank="0" text="" dxfId="420">
      <formula>$D168="TH+"</formula>
    </cfRule>
    <cfRule type="expression" priority="491" aboveAverage="0" equalAverage="0" bottom="0" percent="0" rank="0" text="" dxfId="421">
      <formula>$D168="TH+ IN"</formula>
    </cfRule>
    <cfRule type="expression" priority="492" aboveAverage="0" equalAverage="0" bottom="0" percent="0" rank="0" text="" dxfId="422">
      <formula>$D168="NOVA BRASIL"</formula>
    </cfRule>
    <cfRule type="expression" priority="493" aboveAverage="0" equalAverage="0" bottom="0" percent="0" rank="0" text="" dxfId="423">
      <formula>$D168="DIFUSORA"</formula>
    </cfRule>
  </conditionalFormatting>
  <conditionalFormatting sqref="L169">
    <cfRule type="expression" priority="494" aboveAverage="0" equalAverage="0" bottom="0" percent="0" rank="0" text="" dxfId="424">
      <formula>$D169="PORTAL"</formula>
    </cfRule>
    <cfRule type="expression" priority="495" aboveAverage="0" equalAverage="0" bottom="0" percent="0" rank="0" text="" dxfId="425">
      <formula>$D169="RÁDIO 79"</formula>
    </cfRule>
    <cfRule type="expression" priority="496" aboveAverage="0" equalAverage="0" bottom="0" percent="0" rank="0" text="" dxfId="426">
      <formula>$D169="TH+"</formula>
    </cfRule>
    <cfRule type="expression" priority="497" aboveAverage="0" equalAverage="0" bottom="0" percent="0" rank="0" text="" dxfId="427">
      <formula>$D169="TH+ IN"</formula>
    </cfRule>
    <cfRule type="expression" priority="498" aboveAverage="0" equalAverage="0" bottom="0" percent="0" rank="0" text="" dxfId="428">
      <formula>$D169="NOVA BRASIL"</formula>
    </cfRule>
    <cfRule type="expression" priority="499" aboveAverage="0" equalAverage="0" bottom="0" percent="0" rank="0" text="" dxfId="429">
      <formula>$D169="DIFUSORA"</formula>
    </cfRule>
  </conditionalFormatting>
  <conditionalFormatting sqref="L170">
    <cfRule type="expression" priority="500" aboveAverage="0" equalAverage="0" bottom="0" percent="0" rank="0" text="" dxfId="430">
      <formula>$D170="PORTAL"</formula>
    </cfRule>
    <cfRule type="expression" priority="501" aboveAverage="0" equalAverage="0" bottom="0" percent="0" rank="0" text="" dxfId="431">
      <formula>$D170="RÁDIO 79"</formula>
    </cfRule>
    <cfRule type="expression" priority="502" aboveAverage="0" equalAverage="0" bottom="0" percent="0" rank="0" text="" dxfId="432">
      <formula>$D170="TH+"</formula>
    </cfRule>
    <cfRule type="expression" priority="503" aboveAverage="0" equalAverage="0" bottom="0" percent="0" rank="0" text="" dxfId="433">
      <formula>$D170="TH+ IN"</formula>
    </cfRule>
    <cfRule type="expression" priority="504" aboveAverage="0" equalAverage="0" bottom="0" percent="0" rank="0" text="" dxfId="434">
      <formula>$D170="NOVA BRASIL"</formula>
    </cfRule>
    <cfRule type="expression" priority="505" aboveAverage="0" equalAverage="0" bottom="0" percent="0" rank="0" text="" dxfId="435">
      <formula>$D170="DIFUSORA"</formula>
    </cfRule>
  </conditionalFormatting>
  <conditionalFormatting sqref="L171">
    <cfRule type="expression" priority="506" aboveAverage="0" equalAverage="0" bottom="0" percent="0" rank="0" text="" dxfId="436">
      <formula>$D171="PORTAL"</formula>
    </cfRule>
    <cfRule type="expression" priority="507" aboveAverage="0" equalAverage="0" bottom="0" percent="0" rank="0" text="" dxfId="437">
      <formula>$D171="RÁDIO 79"</formula>
    </cfRule>
    <cfRule type="expression" priority="508" aboveAverage="0" equalAverage="0" bottom="0" percent="0" rank="0" text="" dxfId="438">
      <formula>$D171="TH+"</formula>
    </cfRule>
    <cfRule type="expression" priority="509" aboveAverage="0" equalAverage="0" bottom="0" percent="0" rank="0" text="" dxfId="439">
      <formula>$D171="TH+ IN"</formula>
    </cfRule>
    <cfRule type="expression" priority="510" aboveAverage="0" equalAverage="0" bottom="0" percent="0" rank="0" text="" dxfId="440">
      <formula>$D171="NOVA BRASIL"</formula>
    </cfRule>
    <cfRule type="expression" priority="511" aboveAverage="0" equalAverage="0" bottom="0" percent="0" rank="0" text="" dxfId="441">
      <formula>$D171="DIFUSORA"</formula>
    </cfRule>
  </conditionalFormatting>
  <conditionalFormatting sqref="L172">
    <cfRule type="expression" priority="512" aboveAverage="0" equalAverage="0" bottom="0" percent="0" rank="0" text="" dxfId="442">
      <formula>$D172="PORTAL"</formula>
    </cfRule>
    <cfRule type="expression" priority="513" aboveAverage="0" equalAverage="0" bottom="0" percent="0" rank="0" text="" dxfId="443">
      <formula>$D172="RÁDIO 79"</formula>
    </cfRule>
    <cfRule type="expression" priority="514" aboveAverage="0" equalAverage="0" bottom="0" percent="0" rank="0" text="" dxfId="444">
      <formula>$D172="TH+"</formula>
    </cfRule>
    <cfRule type="expression" priority="515" aboveAverage="0" equalAverage="0" bottom="0" percent="0" rank="0" text="" dxfId="445">
      <formula>$D172="TH+ IN"</formula>
    </cfRule>
    <cfRule type="expression" priority="516" aboveAverage="0" equalAverage="0" bottom="0" percent="0" rank="0" text="" dxfId="446">
      <formula>$D172="NOVA BRASIL"</formula>
    </cfRule>
    <cfRule type="expression" priority="517" aboveAverage="0" equalAverage="0" bottom="0" percent="0" rank="0" text="" dxfId="447">
      <formula>$D172="DIFUSORA"</formula>
    </cfRule>
  </conditionalFormatting>
  <conditionalFormatting sqref="L174">
    <cfRule type="expression" priority="518" aboveAverage="0" equalAverage="0" bottom="0" percent="0" rank="0" text="" dxfId="448">
      <formula>$D174="PORTAL"</formula>
    </cfRule>
    <cfRule type="expression" priority="519" aboveAverage="0" equalAverage="0" bottom="0" percent="0" rank="0" text="" dxfId="449">
      <formula>$D174="RÁDIO 79"</formula>
    </cfRule>
    <cfRule type="expression" priority="520" aboveAverage="0" equalAverage="0" bottom="0" percent="0" rank="0" text="" dxfId="450">
      <formula>$D174="TH+"</formula>
    </cfRule>
    <cfRule type="expression" priority="521" aboveAverage="0" equalAverage="0" bottom="0" percent="0" rank="0" text="" dxfId="451">
      <formula>$D174="TH+ IN"</formula>
    </cfRule>
    <cfRule type="expression" priority="522" aboveAverage="0" equalAverage="0" bottom="0" percent="0" rank="0" text="" dxfId="452">
      <formula>$D174="NOVA BRASIL"</formula>
    </cfRule>
    <cfRule type="expression" priority="523" aboveAverage="0" equalAverage="0" bottom="0" percent="0" rank="0" text="" dxfId="453">
      <formula>$D174="DIFUSORA"</formula>
    </cfRule>
  </conditionalFormatting>
  <conditionalFormatting sqref="L175">
    <cfRule type="expression" priority="524" aboveAverage="0" equalAverage="0" bottom="0" percent="0" rank="0" text="" dxfId="454">
      <formula>$D175="PORTAL"</formula>
    </cfRule>
    <cfRule type="expression" priority="525" aboveAverage="0" equalAverage="0" bottom="0" percent="0" rank="0" text="" dxfId="455">
      <formula>$D175="RÁDIO 79"</formula>
    </cfRule>
    <cfRule type="expression" priority="526" aboveAverage="0" equalAverage="0" bottom="0" percent="0" rank="0" text="" dxfId="456">
      <formula>$D175="TH+"</formula>
    </cfRule>
    <cfRule type="expression" priority="527" aboveAverage="0" equalAverage="0" bottom="0" percent="0" rank="0" text="" dxfId="457">
      <formula>$D175="TH+ IN"</formula>
    </cfRule>
    <cfRule type="expression" priority="528" aboveAverage="0" equalAverage="0" bottom="0" percent="0" rank="0" text="" dxfId="458">
      <formula>$D175="NOVA BRASIL"</formula>
    </cfRule>
    <cfRule type="expression" priority="529" aboveAverage="0" equalAverage="0" bottom="0" percent="0" rank="0" text="" dxfId="459">
      <formula>$D175="DIFUSORA"</formula>
    </cfRule>
  </conditionalFormatting>
  <conditionalFormatting sqref="L176">
    <cfRule type="expression" priority="530" aboveAverage="0" equalAverage="0" bottom="0" percent="0" rank="0" text="" dxfId="460">
      <formula>$D176="PORTAL"</formula>
    </cfRule>
    <cfRule type="expression" priority="531" aboveAverage="0" equalAverage="0" bottom="0" percent="0" rank="0" text="" dxfId="461">
      <formula>$D176="RÁDIO 79"</formula>
    </cfRule>
    <cfRule type="expression" priority="532" aboveAverage="0" equalAverage="0" bottom="0" percent="0" rank="0" text="" dxfId="462">
      <formula>$D176="TH+"</formula>
    </cfRule>
    <cfRule type="expression" priority="533" aboveAverage="0" equalAverage="0" bottom="0" percent="0" rank="0" text="" dxfId="463">
      <formula>$D176="TH+ IN"</formula>
    </cfRule>
    <cfRule type="expression" priority="534" aboveAverage="0" equalAverage="0" bottom="0" percent="0" rank="0" text="" dxfId="464">
      <formula>$D176="NOVA BRASIL"</formula>
    </cfRule>
    <cfRule type="expression" priority="535" aboveAverage="0" equalAverage="0" bottom="0" percent="0" rank="0" text="" dxfId="465">
      <formula>$D176="DIFUSORA"</formula>
    </cfRule>
  </conditionalFormatting>
  <conditionalFormatting sqref="L177">
    <cfRule type="expression" priority="536" aboveAverage="0" equalAverage="0" bottom="0" percent="0" rank="0" text="" dxfId="658">
      <formula>$D177="PORTAL"</formula>
    </cfRule>
    <cfRule type="expression" priority="537" aboveAverage="0" equalAverage="0" bottom="0" percent="0" rank="0" text="" dxfId="659">
      <formula>$D177="RÁDIO 79"</formula>
    </cfRule>
    <cfRule type="expression" priority="538" aboveAverage="0" equalAverage="0" bottom="0" percent="0" rank="0" text="" dxfId="660">
      <formula>$D177="TH+"</formula>
    </cfRule>
    <cfRule type="expression" priority="539" aboveAverage="0" equalAverage="0" bottom="0" percent="0" rank="0" text="" dxfId="661">
      <formula>$D177="TH+ IN"</formula>
    </cfRule>
    <cfRule type="expression" priority="540" aboveAverage="0" equalAverage="0" bottom="0" percent="0" rank="0" text="" dxfId="662">
      <formula>$D177="NOVA BRASIL"</formula>
    </cfRule>
    <cfRule type="expression" priority="541" aboveAverage="0" equalAverage="0" bottom="0" percent="0" rank="0" text="" dxfId="663">
      <formula>$D177="DIFUSORA"</formula>
    </cfRule>
  </conditionalFormatting>
  <conditionalFormatting sqref="L178:L179">
    <cfRule type="expression" priority="542" aboveAverage="0" equalAverage="0" bottom="0" percent="0" rank="0" text="" dxfId="466">
      <formula>$D178="PORTAL"</formula>
    </cfRule>
    <cfRule type="expression" priority="543" aboveAverage="0" equalAverage="0" bottom="0" percent="0" rank="0" text="" dxfId="467">
      <formula>$D178="RÁDIO 79"</formula>
    </cfRule>
    <cfRule type="expression" priority="544" aboveAverage="0" equalAverage="0" bottom="0" percent="0" rank="0" text="" dxfId="468">
      <formula>$D178="TH+"</formula>
    </cfRule>
    <cfRule type="expression" priority="545" aboveAverage="0" equalAverage="0" bottom="0" percent="0" rank="0" text="" dxfId="469">
      <formula>$D178="TH+ IN"</formula>
    </cfRule>
    <cfRule type="expression" priority="546" aboveAverage="0" equalAverage="0" bottom="0" percent="0" rank="0" text="" dxfId="470">
      <formula>$D178="NOVA BRASIL"</formula>
    </cfRule>
    <cfRule type="expression" priority="547" aboveAverage="0" equalAverage="0" bottom="0" percent="0" rank="0" text="" dxfId="471">
      <formula>$D178="DIFUSORA"</formula>
    </cfRule>
  </conditionalFormatting>
  <conditionalFormatting sqref="L180">
    <cfRule type="expression" priority="548" aboveAverage="0" equalAverage="0" bottom="0" percent="0" rank="0" text="" dxfId="682">
      <formula>$D180="PORTAL"</formula>
    </cfRule>
    <cfRule type="expression" priority="549" aboveAverage="0" equalAverage="0" bottom="0" percent="0" rank="0" text="" dxfId="683">
      <formula>$D180="RÁDIO 79"</formula>
    </cfRule>
    <cfRule type="expression" priority="550" aboveAverage="0" equalAverage="0" bottom="0" percent="0" rank="0" text="" dxfId="684">
      <formula>$D180="TH+"</formula>
    </cfRule>
    <cfRule type="expression" priority="551" aboveAverage="0" equalAverage="0" bottom="0" percent="0" rank="0" text="" dxfId="685">
      <formula>$D180="TH+ IN"</formula>
    </cfRule>
    <cfRule type="expression" priority="552" aboveAverage="0" equalAverage="0" bottom="0" percent="0" rank="0" text="" dxfId="686">
      <formula>$D180="NOVA BRASIL"</formula>
    </cfRule>
    <cfRule type="expression" priority="553" aboveAverage="0" equalAverage="0" bottom="0" percent="0" rank="0" text="" dxfId="687">
      <formula>$D180="DIFUSORA"</formula>
    </cfRule>
  </conditionalFormatting>
  <conditionalFormatting sqref="L181:L184">
    <cfRule type="expression" priority="554" aboveAverage="0" equalAverage="0" bottom="0" percent="0" rank="0" text="" dxfId="472">
      <formula>$D181="PORTAL"</formula>
    </cfRule>
    <cfRule type="expression" priority="555" aboveAverage="0" equalAverage="0" bottom="0" percent="0" rank="0" text="" dxfId="473">
      <formula>$D181="RÁDIO 79"</formula>
    </cfRule>
    <cfRule type="expression" priority="556" aboveAverage="0" equalAverage="0" bottom="0" percent="0" rank="0" text="" dxfId="474">
      <formula>$D181="TH+"</formula>
    </cfRule>
    <cfRule type="expression" priority="557" aboveAverage="0" equalAverage="0" bottom="0" percent="0" rank="0" text="" dxfId="475">
      <formula>$D181="TH+ IN"</formula>
    </cfRule>
    <cfRule type="expression" priority="558" aboveAverage="0" equalAverage="0" bottom="0" percent="0" rank="0" text="" dxfId="476">
      <formula>$D181="NOVA BRASIL"</formula>
    </cfRule>
    <cfRule type="expression" priority="559" aboveAverage="0" equalAverage="0" bottom="0" percent="0" rank="0" text="" dxfId="477">
      <formula>$D181="DIFUSORA"</formula>
    </cfRule>
  </conditionalFormatting>
  <conditionalFormatting sqref="L185">
    <cfRule type="expression" priority="560" aboveAverage="0" equalAverage="0" bottom="0" percent="0" rank="0" text="" dxfId="478">
      <formula>$D185="PORTAL"</formula>
    </cfRule>
    <cfRule type="expression" priority="561" aboveAverage="0" equalAverage="0" bottom="0" percent="0" rank="0" text="" dxfId="479">
      <formula>$D185="RÁDIO 79"</formula>
    </cfRule>
    <cfRule type="expression" priority="562" aboveAverage="0" equalAverage="0" bottom="0" percent="0" rank="0" text="" dxfId="480">
      <formula>$D185="TH+"</formula>
    </cfRule>
    <cfRule type="expression" priority="563" aboveAverage="0" equalAverage="0" bottom="0" percent="0" rank="0" text="" dxfId="481">
      <formula>$D185="TH+ IN"</formula>
    </cfRule>
    <cfRule type="expression" priority="564" aboveAverage="0" equalAverage="0" bottom="0" percent="0" rank="0" text="" dxfId="482">
      <formula>$D185="NOVA BRASIL"</formula>
    </cfRule>
    <cfRule type="expression" priority="565" aboveAverage="0" equalAverage="0" bottom="0" percent="0" rank="0" text="" dxfId="483">
      <formula>$D185="DIFUSORA"</formula>
    </cfRule>
  </conditionalFormatting>
  <conditionalFormatting sqref="L186">
    <cfRule type="expression" priority="566" aboveAverage="0" equalAverage="0" bottom="0" percent="0" rank="0" text="" dxfId="484">
      <formula>$D186="PORTAL"</formula>
    </cfRule>
    <cfRule type="expression" priority="567" aboveAverage="0" equalAverage="0" bottom="0" percent="0" rank="0" text="" dxfId="485">
      <formula>$D186="RÁDIO 79"</formula>
    </cfRule>
    <cfRule type="expression" priority="568" aboveAverage="0" equalAverage="0" bottom="0" percent="0" rank="0" text="" dxfId="486">
      <formula>$D186="TH+"</formula>
    </cfRule>
    <cfRule type="expression" priority="569" aboveAverage="0" equalAverage="0" bottom="0" percent="0" rank="0" text="" dxfId="487">
      <formula>$D186="TH+ IN"</formula>
    </cfRule>
    <cfRule type="expression" priority="570" aboveAverage="0" equalAverage="0" bottom="0" percent="0" rank="0" text="" dxfId="488">
      <formula>$D186="NOVA BRASIL"</formula>
    </cfRule>
    <cfRule type="expression" priority="571" aboveAverage="0" equalAverage="0" bottom="0" percent="0" rank="0" text="" dxfId="489">
      <formula>$D186="DIFUSORA"</formula>
    </cfRule>
  </conditionalFormatting>
  <conditionalFormatting sqref="L187:L196">
    <cfRule type="expression" priority="572" aboveAverage="0" equalAverage="0" bottom="0" percent="0" rank="0" text="" dxfId="10">
      <formula>$D187="PORTAL"</formula>
    </cfRule>
    <cfRule type="expression" priority="573" aboveAverage="0" equalAverage="0" bottom="0" percent="0" rank="0" text="" dxfId="11">
      <formula>$D187="RÁDIO 79"</formula>
    </cfRule>
    <cfRule type="expression" priority="574" aboveAverage="0" equalAverage="0" bottom="0" percent="0" rank="0" text="" dxfId="12">
      <formula>$D187="TH+"</formula>
    </cfRule>
    <cfRule type="expression" priority="575" aboveAverage="0" equalAverage="0" bottom="0" percent="0" rank="0" text="" dxfId="13">
      <formula>$D187="TH+ IN"</formula>
    </cfRule>
    <cfRule type="expression" priority="576" aboveAverage="0" equalAverage="0" bottom="0" percent="0" rank="0" text="" dxfId="14">
      <formula>$D187="NOVA BRASIL"</formula>
    </cfRule>
    <cfRule type="expression" priority="577" aboveAverage="0" equalAverage="0" bottom="0" percent="0" rank="0" text="" dxfId="15">
      <formula>$D187="DIFUSORA"</formula>
    </cfRule>
  </conditionalFormatting>
  <conditionalFormatting sqref="L197">
    <cfRule type="expression" priority="578" aboveAverage="0" equalAverage="0" bottom="0" percent="0" rank="0" text="" dxfId="712">
      <formula>$D197="PORTAL"</formula>
    </cfRule>
    <cfRule type="expression" priority="579" aboveAverage="0" equalAverage="0" bottom="0" percent="0" rank="0" text="" dxfId="713">
      <formula>$D197="RÁDIO 79"</formula>
    </cfRule>
    <cfRule type="expression" priority="580" aboveAverage="0" equalAverage="0" bottom="0" percent="0" rank="0" text="" dxfId="714">
      <formula>$D197="TH+"</formula>
    </cfRule>
    <cfRule type="expression" priority="581" aboveAverage="0" equalAverage="0" bottom="0" percent="0" rank="0" text="" dxfId="715">
      <formula>$D197="TH+ IN"</formula>
    </cfRule>
    <cfRule type="expression" priority="582" aboveAverage="0" equalAverage="0" bottom="0" percent="0" rank="0" text="" dxfId="716">
      <formula>$D197="NOVA BRASIL"</formula>
    </cfRule>
    <cfRule type="expression" priority="583" aboveAverage="0" equalAverage="0" bottom="0" percent="0" rank="0" text="" dxfId="717">
      <formula>$D197="DIFUSORA"</formula>
    </cfRule>
  </conditionalFormatting>
  <conditionalFormatting sqref="L198">
    <cfRule type="expression" priority="584" aboveAverage="0" equalAverage="0" bottom="0" percent="0" rank="0" text="" dxfId="718">
      <formula>$D198="PORTAL"</formula>
    </cfRule>
    <cfRule type="expression" priority="585" aboveAverage="0" equalAverage="0" bottom="0" percent="0" rank="0" text="" dxfId="719">
      <formula>$D198="RÁDIO 79"</formula>
    </cfRule>
    <cfRule type="expression" priority="586" aboveAverage="0" equalAverage="0" bottom="0" percent="0" rank="0" text="" dxfId="720">
      <formula>$D198="TH+"</formula>
    </cfRule>
    <cfRule type="expression" priority="587" aboveAverage="0" equalAverage="0" bottom="0" percent="0" rank="0" text="" dxfId="721">
      <formula>$D198="TH+ IN"</formula>
    </cfRule>
    <cfRule type="expression" priority="588" aboveAverage="0" equalAverage="0" bottom="0" percent="0" rank="0" text="" dxfId="722">
      <formula>$D198="NOVA BRASIL"</formula>
    </cfRule>
    <cfRule type="expression" priority="589" aboveAverage="0" equalAverage="0" bottom="0" percent="0" rank="0" text="" dxfId="723">
      <formula>$D198="DIFUSORA"</formula>
    </cfRule>
  </conditionalFormatting>
  <conditionalFormatting sqref="L215:L216">
    <cfRule type="expression" priority="590" aboveAverage="0" equalAverage="0" bottom="0" percent="0" rank="0" text="" dxfId="616">
      <formula>$D215="PORTAL"</formula>
    </cfRule>
    <cfRule type="expression" priority="591" aboveAverage="0" equalAverage="0" bottom="0" percent="0" rank="0" text="" dxfId="617">
      <formula>$D215="RÁDIO 79"</formula>
    </cfRule>
    <cfRule type="expression" priority="592" aboveAverage="0" equalAverage="0" bottom="0" percent="0" rank="0" text="" dxfId="618">
      <formula>$D215="TH+"</formula>
    </cfRule>
    <cfRule type="expression" priority="593" aboveAverage="0" equalAverage="0" bottom="0" percent="0" rank="0" text="" dxfId="619">
      <formula>$D215="TH+ IN"</formula>
    </cfRule>
    <cfRule type="expression" priority="594" aboveAverage="0" equalAverage="0" bottom="0" percent="0" rank="0" text="" dxfId="620">
      <formula>$D215="NOVA BRASIL"</formula>
    </cfRule>
    <cfRule type="expression" priority="595" aboveAverage="0" equalAverage="0" bottom="0" percent="0" rank="0" text="" dxfId="621">
      <formula>$D215="DIFUSORA"</formula>
    </cfRule>
  </conditionalFormatting>
  <conditionalFormatting sqref="L217">
    <cfRule type="expression" priority="596" aboveAverage="0" equalAverage="0" bottom="0" percent="0" rank="0" text="" dxfId="622">
      <formula>$D217="PORTAL"</formula>
    </cfRule>
    <cfRule type="expression" priority="597" aboveAverage="0" equalAverage="0" bottom="0" percent="0" rank="0" text="" dxfId="623">
      <formula>$D217="TH+ PRIME"</formula>
    </cfRule>
    <cfRule type="expression" priority="598" aboveAverage="0" equalAverage="0" bottom="0" percent="0" rank="0" text="" dxfId="624">
      <formula>$D217="TH+"</formula>
    </cfRule>
    <cfRule type="expression" priority="599" aboveAverage="0" equalAverage="0" bottom="0" percent="0" rank="0" text="" dxfId="625">
      <formula>$D217="TH+ IN"</formula>
    </cfRule>
    <cfRule type="expression" priority="600" aboveAverage="0" equalAverage="0" bottom="0" percent="0" rank="0" text="" dxfId="626">
      <formula>$D217="NOVA BRASIL"</formula>
    </cfRule>
    <cfRule type="expression" priority="601" aboveAverage="0" equalAverage="0" bottom="0" percent="0" rank="0" text="" dxfId="627">
      <formula>$D217="DIFUSORA"</formula>
    </cfRule>
  </conditionalFormatting>
  <conditionalFormatting sqref="J173 J177 J199:J208 J211:J213 J118:J167 J189:J197 J215 J218:J225">
    <cfRule type="expression" priority="602" aboveAverage="0" equalAverage="0" bottom="0" percent="0" rank="0" text="" dxfId="16">
      <formula>$D118="PORTAL"</formula>
    </cfRule>
    <cfRule type="expression" priority="603" aboveAverage="0" equalAverage="0" bottom="0" percent="0" rank="0" text="" dxfId="17">
      <formula>$D118="TH+ IN"</formula>
    </cfRule>
    <cfRule type="expression" priority="604" aboveAverage="0" equalAverage="0" bottom="0" percent="0" rank="0" text="" dxfId="18">
      <formula>$D118="RÁDIO 79"</formula>
    </cfRule>
    <cfRule type="expression" priority="605" aboveAverage="0" equalAverage="0" bottom="0" percent="0" rank="0" text="" dxfId="19">
      <formula>$D118="TH+"</formula>
    </cfRule>
    <cfRule type="expression" priority="606" aboveAverage="0" equalAverage="0" bottom="0" percent="0" rank="0" text="" dxfId="20">
      <formula>$D118="NOVA BRASIL"</formula>
    </cfRule>
    <cfRule type="expression" priority="607" aboveAverage="0" equalAverage="0" bottom="0" percent="0" rank="0" text="" dxfId="21">
      <formula>$D118="DIFUSORA"</formula>
    </cfRule>
  </conditionalFormatting>
  <conditionalFormatting sqref="J168">
    <cfRule type="expression" priority="608" aboveAverage="0" equalAverage="0" bottom="0" percent="0" rank="0" text="" dxfId="490">
      <formula>$D168="PORTAL"</formula>
    </cfRule>
    <cfRule type="expression" priority="609" aboveAverage="0" equalAverage="0" bottom="0" percent="0" rank="0" text="" dxfId="491">
      <formula>$D168="RÁDIO 79"</formula>
    </cfRule>
    <cfRule type="expression" priority="610" aboveAverage="0" equalAverage="0" bottom="0" percent="0" rank="0" text="" dxfId="492">
      <formula>$D168="TH+"</formula>
    </cfRule>
    <cfRule type="expression" priority="611" aboveAverage="0" equalAverage="0" bottom="0" percent="0" rank="0" text="" dxfId="493">
      <formula>$D168="TH+ IN"</formula>
    </cfRule>
    <cfRule type="expression" priority="612" aboveAverage="0" equalAverage="0" bottom="0" percent="0" rank="0" text="" dxfId="494">
      <formula>$D168="NOVA BRASIL"</formula>
    </cfRule>
    <cfRule type="expression" priority="613" aboveAverage="0" equalAverage="0" bottom="0" percent="0" rank="0" text="" dxfId="495">
      <formula>$D168="DIFUSORA"</formula>
    </cfRule>
  </conditionalFormatting>
  <conditionalFormatting sqref="J169">
    <cfRule type="expression" priority="614" aboveAverage="0" equalAverage="0" bottom="0" percent="0" rank="0" text="" dxfId="496">
      <formula>$D169="PORTAL"</formula>
    </cfRule>
    <cfRule type="expression" priority="615" aboveAverage="0" equalAverage="0" bottom="0" percent="0" rank="0" text="" dxfId="497">
      <formula>$D169="RÁDIO 79"</formula>
    </cfRule>
    <cfRule type="expression" priority="616" aboveAverage="0" equalAverage="0" bottom="0" percent="0" rank="0" text="" dxfId="498">
      <formula>$D169="TH+"</formula>
    </cfRule>
    <cfRule type="expression" priority="617" aboveAverage="0" equalAverage="0" bottom="0" percent="0" rank="0" text="" dxfId="499">
      <formula>$D169="TH+ IN"</formula>
    </cfRule>
    <cfRule type="expression" priority="618" aboveAverage="0" equalAverage="0" bottom="0" percent="0" rank="0" text="" dxfId="500">
      <formula>$D169="NOVA BRASIL"</formula>
    </cfRule>
    <cfRule type="expression" priority="619" aboveAverage="0" equalAverage="0" bottom="0" percent="0" rank="0" text="" dxfId="501">
      <formula>$D169="DIFUSORA"</formula>
    </cfRule>
  </conditionalFormatting>
  <conditionalFormatting sqref="J167">
    <cfRule type="expression" priority="620" aboveAverage="0" equalAverage="0" bottom="0" percent="0" rank="0" text="" dxfId="502">
      <formula>$D167="PORTAL"</formula>
    </cfRule>
    <cfRule type="expression" priority="621" aboveAverage="0" equalAverage="0" bottom="0" percent="0" rank="0" text="" dxfId="503">
      <formula>$D167="RÁDIO 79"</formula>
    </cfRule>
    <cfRule type="expression" priority="622" aboveAverage="0" equalAverage="0" bottom="0" percent="0" rank="0" text="" dxfId="504">
      <formula>$D167="TH+"</formula>
    </cfRule>
    <cfRule type="expression" priority="623" aboveAverage="0" equalAverage="0" bottom="0" percent="0" rank="0" text="" dxfId="505">
      <formula>$D167="TH+ IN"</formula>
    </cfRule>
    <cfRule type="expression" priority="624" aboveAverage="0" equalAverage="0" bottom="0" percent="0" rank="0" text="" dxfId="506">
      <formula>$D167="NOVA BRASIL"</formula>
    </cfRule>
    <cfRule type="expression" priority="625" aboveAverage="0" equalAverage="0" bottom="0" percent="0" rank="0" text="" dxfId="507">
      <formula>$D167="DIFUSORA"</formula>
    </cfRule>
  </conditionalFormatting>
  <conditionalFormatting sqref="J168">
    <cfRule type="expression" priority="626" aboveAverage="0" equalAverage="0" bottom="0" percent="0" rank="0" text="" dxfId="508">
      <formula>$D168="PORTAL"</formula>
    </cfRule>
    <cfRule type="expression" priority="627" aboveAverage="0" equalAverage="0" bottom="0" percent="0" rank="0" text="" dxfId="509">
      <formula>$D168="RÁDIO 79"</formula>
    </cfRule>
    <cfRule type="expression" priority="628" aboveAverage="0" equalAverage="0" bottom="0" percent="0" rank="0" text="" dxfId="510">
      <formula>$D168="TH+"</formula>
    </cfRule>
    <cfRule type="expression" priority="629" aboveAverage="0" equalAverage="0" bottom="0" percent="0" rank="0" text="" dxfId="511">
      <formula>$D168="TH+ IN"</formula>
    </cfRule>
    <cfRule type="expression" priority="630" aboveAverage="0" equalAverage="0" bottom="0" percent="0" rank="0" text="" dxfId="512">
      <formula>$D168="NOVA BRASIL"</formula>
    </cfRule>
    <cfRule type="expression" priority="631" aboveAverage="0" equalAverage="0" bottom="0" percent="0" rank="0" text="" dxfId="513">
      <formula>$D168="DIFUSORA"</formula>
    </cfRule>
  </conditionalFormatting>
  <conditionalFormatting sqref="J169">
    <cfRule type="expression" priority="632" aboveAverage="0" equalAverage="0" bottom="0" percent="0" rank="0" text="" dxfId="514">
      <formula>$D169="PORTAL"</formula>
    </cfRule>
    <cfRule type="expression" priority="633" aboveAverage="0" equalAverage="0" bottom="0" percent="0" rank="0" text="" dxfId="515">
      <formula>$D169="RÁDIO 79"</formula>
    </cfRule>
    <cfRule type="expression" priority="634" aboveAverage="0" equalAverage="0" bottom="0" percent="0" rank="0" text="" dxfId="516">
      <formula>$D169="TH+"</formula>
    </cfRule>
    <cfRule type="expression" priority="635" aboveAverage="0" equalAverage="0" bottom="0" percent="0" rank="0" text="" dxfId="517">
      <formula>$D169="TH+ IN"</formula>
    </cfRule>
    <cfRule type="expression" priority="636" aboveAverage="0" equalAverage="0" bottom="0" percent="0" rank="0" text="" dxfId="518">
      <formula>$D169="NOVA BRASIL"</formula>
    </cfRule>
    <cfRule type="expression" priority="637" aboveAverage="0" equalAverage="0" bottom="0" percent="0" rank="0" text="" dxfId="519">
      <formula>$D169="DIFUSORA"</formula>
    </cfRule>
  </conditionalFormatting>
  <conditionalFormatting sqref="J170">
    <cfRule type="expression" priority="638" aboveAverage="0" equalAverage="0" bottom="0" percent="0" rank="0" text="" dxfId="520">
      <formula>$D170="PORTAL"</formula>
    </cfRule>
    <cfRule type="expression" priority="639" aboveAverage="0" equalAverage="0" bottom="0" percent="0" rank="0" text="" dxfId="521">
      <formula>$D170="RÁDIO 79"</formula>
    </cfRule>
    <cfRule type="expression" priority="640" aboveAverage="0" equalAverage="0" bottom="0" percent="0" rank="0" text="" dxfId="522">
      <formula>$D170="TH+"</formula>
    </cfRule>
    <cfRule type="expression" priority="641" aboveAverage="0" equalAverage="0" bottom="0" percent="0" rank="0" text="" dxfId="523">
      <formula>$D170="TH+ IN"</formula>
    </cfRule>
    <cfRule type="expression" priority="642" aboveAverage="0" equalAverage="0" bottom="0" percent="0" rank="0" text="" dxfId="524">
      <formula>$D170="NOVA BRASIL"</formula>
    </cfRule>
    <cfRule type="expression" priority="643" aboveAverage="0" equalAverage="0" bottom="0" percent="0" rank="0" text="" dxfId="525">
      <formula>$D170="DIFUSORA"</formula>
    </cfRule>
  </conditionalFormatting>
  <conditionalFormatting sqref="J171">
    <cfRule type="expression" priority="644" aboveAverage="0" equalAverage="0" bottom="0" percent="0" rank="0" text="" dxfId="526">
      <formula>$D171="PORTAL"</formula>
    </cfRule>
    <cfRule type="expression" priority="645" aboveAverage="0" equalAverage="0" bottom="0" percent="0" rank="0" text="" dxfId="527">
      <formula>$D171="RÁDIO 79"</formula>
    </cfRule>
    <cfRule type="expression" priority="646" aboveAverage="0" equalAverage="0" bottom="0" percent="0" rank="0" text="" dxfId="528">
      <formula>$D171="TH+"</formula>
    </cfRule>
    <cfRule type="expression" priority="647" aboveAverage="0" equalAverage="0" bottom="0" percent="0" rank="0" text="" dxfId="529">
      <formula>$D171="TH+ IN"</formula>
    </cfRule>
    <cfRule type="expression" priority="648" aboveAverage="0" equalAverage="0" bottom="0" percent="0" rank="0" text="" dxfId="530">
      <formula>$D171="NOVA BRASIL"</formula>
    </cfRule>
    <cfRule type="expression" priority="649" aboveAverage="0" equalAverage="0" bottom="0" percent="0" rank="0" text="" dxfId="531">
      <formula>$D171="DIFUSORA"</formula>
    </cfRule>
  </conditionalFormatting>
  <conditionalFormatting sqref="J172">
    <cfRule type="expression" priority="650" aboveAverage="0" equalAverage="0" bottom="0" percent="0" rank="0" text="" dxfId="532">
      <formula>$D172="PORTAL"</formula>
    </cfRule>
    <cfRule type="expression" priority="651" aboveAverage="0" equalAverage="0" bottom="0" percent="0" rank="0" text="" dxfId="533">
      <formula>$D172="RÁDIO 79"</formula>
    </cfRule>
    <cfRule type="expression" priority="652" aboveAverage="0" equalAverage="0" bottom="0" percent="0" rank="0" text="" dxfId="534">
      <formula>$D172="TH+"</formula>
    </cfRule>
    <cfRule type="expression" priority="653" aboveAverage="0" equalAverage="0" bottom="0" percent="0" rank="0" text="" dxfId="535">
      <formula>$D172="TH+ IN"</formula>
    </cfRule>
    <cfRule type="expression" priority="654" aboveAverage="0" equalAverage="0" bottom="0" percent="0" rank="0" text="" dxfId="536">
      <formula>$D172="NOVA BRASIL"</formula>
    </cfRule>
    <cfRule type="expression" priority="655" aboveAverage="0" equalAverage="0" bottom="0" percent="0" rank="0" text="" dxfId="537">
      <formula>$D172="DIFUSORA"</formula>
    </cfRule>
  </conditionalFormatting>
  <conditionalFormatting sqref="J174">
    <cfRule type="expression" priority="656" aboveAverage="0" equalAverage="0" bottom="0" percent="0" rank="0" text="" dxfId="538">
      <formula>$D174="PORTAL"</formula>
    </cfRule>
    <cfRule type="expression" priority="657" aboveAverage="0" equalAverage="0" bottom="0" percent="0" rank="0" text="" dxfId="539">
      <formula>$D174="RÁDIO 79"</formula>
    </cfRule>
    <cfRule type="expression" priority="658" aboveAverage="0" equalAverage="0" bottom="0" percent="0" rank="0" text="" dxfId="540">
      <formula>$D174="TH+"</formula>
    </cfRule>
    <cfRule type="expression" priority="659" aboveAverage="0" equalAverage="0" bottom="0" percent="0" rank="0" text="" dxfId="541">
      <formula>$D174="TH+ IN"</formula>
    </cfRule>
    <cfRule type="expression" priority="660" aboveAverage="0" equalAverage="0" bottom="0" percent="0" rank="0" text="" dxfId="542">
      <formula>$D174="NOVA BRASIL"</formula>
    </cfRule>
    <cfRule type="expression" priority="661" aboveAverage="0" equalAverage="0" bottom="0" percent="0" rank="0" text="" dxfId="543">
      <formula>$D174="DIFUSORA"</formula>
    </cfRule>
  </conditionalFormatting>
  <conditionalFormatting sqref="J175">
    <cfRule type="expression" priority="662" aboveAverage="0" equalAverage="0" bottom="0" percent="0" rank="0" text="" dxfId="544">
      <formula>$D175="PORTAL"</formula>
    </cfRule>
    <cfRule type="expression" priority="663" aboveAverage="0" equalAverage="0" bottom="0" percent="0" rank="0" text="" dxfId="545">
      <formula>$D175="RÁDIO 79"</formula>
    </cfRule>
    <cfRule type="expression" priority="664" aboveAverage="0" equalAverage="0" bottom="0" percent="0" rank="0" text="" dxfId="546">
      <formula>$D175="TH+"</formula>
    </cfRule>
    <cfRule type="expression" priority="665" aboveAverage="0" equalAverage="0" bottom="0" percent="0" rank="0" text="" dxfId="547">
      <formula>$D175="TH+ IN"</formula>
    </cfRule>
    <cfRule type="expression" priority="666" aboveAverage="0" equalAverage="0" bottom="0" percent="0" rank="0" text="" dxfId="548">
      <formula>$D175="NOVA BRASIL"</formula>
    </cfRule>
    <cfRule type="expression" priority="667" aboveAverage="0" equalAverage="0" bottom="0" percent="0" rank="0" text="" dxfId="549">
      <formula>$D175="DIFUSORA"</formula>
    </cfRule>
  </conditionalFormatting>
  <conditionalFormatting sqref="J176">
    <cfRule type="expression" priority="668" aboveAverage="0" equalAverage="0" bottom="0" percent="0" rank="0" text="" dxfId="550">
      <formula>$D176="PORTAL"</formula>
    </cfRule>
    <cfRule type="expression" priority="669" aboveAverage="0" equalAverage="0" bottom="0" percent="0" rank="0" text="" dxfId="551">
      <formula>$D176="RÁDIO 79"</formula>
    </cfRule>
    <cfRule type="expression" priority="670" aboveAverage="0" equalAverage="0" bottom="0" percent="0" rank="0" text="" dxfId="552">
      <formula>$D176="TH+"</formula>
    </cfRule>
    <cfRule type="expression" priority="671" aboveAverage="0" equalAverage="0" bottom="0" percent="0" rank="0" text="" dxfId="553">
      <formula>$D176="TH+ IN"</formula>
    </cfRule>
    <cfRule type="expression" priority="672" aboveAverage="0" equalAverage="0" bottom="0" percent="0" rank="0" text="" dxfId="554">
      <formula>$D176="NOVA BRASIL"</formula>
    </cfRule>
    <cfRule type="expression" priority="673" aboveAverage="0" equalAverage="0" bottom="0" percent="0" rank="0" text="" dxfId="555">
      <formula>$D176="DIFUSORA"</formula>
    </cfRule>
  </conditionalFormatting>
  <conditionalFormatting sqref="J178:J179">
    <cfRule type="expression" priority="674" aboveAverage="0" equalAverage="0" bottom="0" percent="0" rank="0" text="" dxfId="556">
      <formula>$D178="PORTAL"</formula>
    </cfRule>
    <cfRule type="expression" priority="675" aboveAverage="0" equalAverage="0" bottom="0" percent="0" rank="0" text="" dxfId="557">
      <formula>$D178="RÁDIO 79"</formula>
    </cfRule>
    <cfRule type="expression" priority="676" aboveAverage="0" equalAverage="0" bottom="0" percent="0" rank="0" text="" dxfId="558">
      <formula>$D178="TH+"</formula>
    </cfRule>
    <cfRule type="expression" priority="677" aboveAverage="0" equalAverage="0" bottom="0" percent="0" rank="0" text="" dxfId="559">
      <formula>$D178="TH+ IN"</formula>
    </cfRule>
    <cfRule type="expression" priority="678" aboveAverage="0" equalAverage="0" bottom="0" percent="0" rank="0" text="" dxfId="560">
      <formula>$D178="NOVA BRASIL"</formula>
    </cfRule>
    <cfRule type="expression" priority="679" aboveAverage="0" equalAverage="0" bottom="0" percent="0" rank="0" text="" dxfId="561">
      <formula>$D178="DIFUSORA"</formula>
    </cfRule>
  </conditionalFormatting>
  <conditionalFormatting sqref="J180">
    <cfRule type="expression" priority="680" aboveAverage="0" equalAverage="0" bottom="0" percent="0" rank="0" text="" dxfId="688">
      <formula>$D180="PORTAL"</formula>
    </cfRule>
    <cfRule type="expression" priority="681" aboveAverage="0" equalAverage="0" bottom="0" percent="0" rank="0" text="" dxfId="689">
      <formula>$D180="RÁDIO 79"</formula>
    </cfRule>
    <cfRule type="expression" priority="682" aboveAverage="0" equalAverage="0" bottom="0" percent="0" rank="0" text="" dxfId="690">
      <formula>$D180="TH+"</formula>
    </cfRule>
    <cfRule type="expression" priority="683" aboveAverage="0" equalAverage="0" bottom="0" percent="0" rank="0" text="" dxfId="691">
      <formula>$D180="TH+ IN"</formula>
    </cfRule>
    <cfRule type="expression" priority="684" aboveAverage="0" equalAverage="0" bottom="0" percent="0" rank="0" text="" dxfId="692">
      <formula>$D180="NOVA BRASIL"</formula>
    </cfRule>
    <cfRule type="expression" priority="685" aboveAverage="0" equalAverage="0" bottom="0" percent="0" rank="0" text="" dxfId="693">
      <formula>$D180="DIFUSORA"</formula>
    </cfRule>
  </conditionalFormatting>
  <conditionalFormatting sqref="J181:J184">
    <cfRule type="expression" priority="686" aboveAverage="0" equalAverage="0" bottom="0" percent="0" rank="0" text="" dxfId="562">
      <formula>$D181="PORTAL"</formula>
    </cfRule>
    <cfRule type="expression" priority="687" aboveAverage="0" equalAverage="0" bottom="0" percent="0" rank="0" text="" dxfId="563">
      <formula>$D181="RÁDIO 79"</formula>
    </cfRule>
    <cfRule type="expression" priority="688" aboveAverage="0" equalAverage="0" bottom="0" percent="0" rank="0" text="" dxfId="564">
      <formula>$D181="TH+"</formula>
    </cfRule>
    <cfRule type="expression" priority="689" aboveAverage="0" equalAverage="0" bottom="0" percent="0" rank="0" text="" dxfId="565">
      <formula>$D181="TH+ IN"</formula>
    </cfRule>
    <cfRule type="expression" priority="690" aboveAverage="0" equalAverage="0" bottom="0" percent="0" rank="0" text="" dxfId="566">
      <formula>$D181="NOVA BRASIL"</formula>
    </cfRule>
    <cfRule type="expression" priority="691" aboveAverage="0" equalAverage="0" bottom="0" percent="0" rank="0" text="" dxfId="567">
      <formula>$D181="DIFUSORA"</formula>
    </cfRule>
  </conditionalFormatting>
  <conditionalFormatting sqref="J185">
    <cfRule type="expression" priority="692" aboveAverage="0" equalAverage="0" bottom="0" percent="0" rank="0" text="" dxfId="568">
      <formula>$D185="PORTAL"</formula>
    </cfRule>
    <cfRule type="expression" priority="693" aboveAverage="0" equalAverage="0" bottom="0" percent="0" rank="0" text="" dxfId="569">
      <formula>$D185="RÁDIO 79"</formula>
    </cfRule>
    <cfRule type="expression" priority="694" aboveAverage="0" equalAverage="0" bottom="0" percent="0" rank="0" text="" dxfId="570">
      <formula>$D185="TH+"</formula>
    </cfRule>
    <cfRule type="expression" priority="695" aboveAverage="0" equalAverage="0" bottom="0" percent="0" rank="0" text="" dxfId="571">
      <formula>$D185="TH+ IN"</formula>
    </cfRule>
    <cfRule type="expression" priority="696" aboveAverage="0" equalAverage="0" bottom="0" percent="0" rank="0" text="" dxfId="572">
      <formula>$D185="NOVA BRASIL"</formula>
    </cfRule>
    <cfRule type="expression" priority="697" aboveAverage="0" equalAverage="0" bottom="0" percent="0" rank="0" text="" dxfId="573">
      <formula>$D185="DIFUSORA"</formula>
    </cfRule>
  </conditionalFormatting>
  <conditionalFormatting sqref="J186">
    <cfRule type="expression" priority="698" aboveAverage="0" equalAverage="0" bottom="0" percent="0" rank="0" text="" dxfId="574">
      <formula>$D186="PORTAL"</formula>
    </cfRule>
    <cfRule type="expression" priority="699" aboveAverage="0" equalAverage="0" bottom="0" percent="0" rank="0" text="" dxfId="575">
      <formula>$D186="RÁDIO 79"</formula>
    </cfRule>
    <cfRule type="expression" priority="700" aboveAverage="0" equalAverage="0" bottom="0" percent="0" rank="0" text="" dxfId="576">
      <formula>$D186="TH+"</formula>
    </cfRule>
    <cfRule type="expression" priority="701" aboveAverage="0" equalAverage="0" bottom="0" percent="0" rank="0" text="" dxfId="577">
      <formula>$D186="TH+ IN"</formula>
    </cfRule>
    <cfRule type="expression" priority="702" aboveAverage="0" equalAverage="0" bottom="0" percent="0" rank="0" text="" dxfId="578">
      <formula>$D186="NOVA BRASIL"</formula>
    </cfRule>
    <cfRule type="expression" priority="703" aboveAverage="0" equalAverage="0" bottom="0" percent="0" rank="0" text="" dxfId="579">
      <formula>$D186="DIFUSORA"</formula>
    </cfRule>
  </conditionalFormatting>
  <conditionalFormatting sqref="J187">
    <cfRule type="expression" priority="704" aboveAverage="0" equalAverage="0" bottom="0" percent="0" rank="0" text="" dxfId="580">
      <formula>$D187="PORTAL"</formula>
    </cfRule>
    <cfRule type="expression" priority="705" aboveAverage="0" equalAverage="0" bottom="0" percent="0" rank="0" text="" dxfId="581">
      <formula>$D187="RÁDIO 79"</formula>
    </cfRule>
    <cfRule type="expression" priority="706" aboveAverage="0" equalAverage="0" bottom="0" percent="0" rank="0" text="" dxfId="582">
      <formula>$D187="TH+"</formula>
    </cfRule>
    <cfRule type="expression" priority="707" aboveAverage="0" equalAverage="0" bottom="0" percent="0" rank="0" text="" dxfId="583">
      <formula>$D187="TH+ IN"</formula>
    </cfRule>
    <cfRule type="expression" priority="708" aboveAverage="0" equalAverage="0" bottom="0" percent="0" rank="0" text="" dxfId="584">
      <formula>$D187="NOVA BRASIL"</formula>
    </cfRule>
    <cfRule type="expression" priority="709" aboveAverage="0" equalAverage="0" bottom="0" percent="0" rank="0" text="" dxfId="585">
      <formula>$D187="DIFUSORA"</formula>
    </cfRule>
  </conditionalFormatting>
  <conditionalFormatting sqref="J188">
    <cfRule type="expression" priority="710" aboveAverage="0" equalAverage="0" bottom="0" percent="0" rank="0" text="" dxfId="586">
      <formula>$D188="PORTAL"</formula>
    </cfRule>
    <cfRule type="expression" priority="711" aboveAverage="0" equalAverage="0" bottom="0" percent="0" rank="0" text="" dxfId="587">
      <formula>$D188="RÁDIO 79"</formula>
    </cfRule>
    <cfRule type="expression" priority="712" aboveAverage="0" equalAverage="0" bottom="0" percent="0" rank="0" text="" dxfId="588">
      <formula>$D188="TH+"</formula>
    </cfRule>
    <cfRule type="expression" priority="713" aboveAverage="0" equalAverage="0" bottom="0" percent="0" rank="0" text="" dxfId="589">
      <formula>$D188="TH+ IN"</formula>
    </cfRule>
    <cfRule type="expression" priority="714" aboveAverage="0" equalAverage="0" bottom="0" percent="0" rank="0" text="" dxfId="590">
      <formula>$D188="NOVA BRASIL"</formula>
    </cfRule>
    <cfRule type="expression" priority="715" aboveAverage="0" equalAverage="0" bottom="0" percent="0" rank="0" text="" dxfId="591">
      <formula>$D188="DIFUSORA"</formula>
    </cfRule>
  </conditionalFormatting>
  <conditionalFormatting sqref="J198">
    <cfRule type="expression" priority="716" aboveAverage="0" equalAverage="0" bottom="0" percent="0" rank="0" text="" dxfId="724">
      <formula>$D198="PORTAL"</formula>
    </cfRule>
    <cfRule type="expression" priority="717" aboveAverage="0" equalAverage="0" bottom="0" percent="0" rank="0" text="" dxfId="725">
      <formula>$D198="RÁDIO 79"</formula>
    </cfRule>
    <cfRule type="expression" priority="718" aboveAverage="0" equalAverage="0" bottom="0" percent="0" rank="0" text="" dxfId="726">
      <formula>$D198="TH+"</formula>
    </cfRule>
    <cfRule type="expression" priority="719" aboveAverage="0" equalAverage="0" bottom="0" percent="0" rank="0" text="" dxfId="727">
      <formula>$D198="TH+ IN"</formula>
    </cfRule>
    <cfRule type="expression" priority="720" aboveAverage="0" equalAverage="0" bottom="0" percent="0" rank="0" text="" dxfId="728">
      <formula>$D198="NOVA BRASIL"</formula>
    </cfRule>
    <cfRule type="expression" priority="721" aboveAverage="0" equalAverage="0" bottom="0" percent="0" rank="0" text="" dxfId="729">
      <formula>$D198="DIFUSORA"</formula>
    </cfRule>
  </conditionalFormatting>
  <conditionalFormatting sqref="J210">
    <cfRule type="expression" priority="722" aboveAverage="0" equalAverage="0" bottom="0" percent="0" rank="0" text="" dxfId="628">
      <formula>$D210="PORTAL"</formula>
    </cfRule>
    <cfRule type="expression" priority="723" aboveAverage="0" equalAverage="0" bottom="0" percent="0" rank="0" text="" dxfId="629">
      <formula>$D210="RÁDIO 79"</formula>
    </cfRule>
    <cfRule type="expression" priority="724" aboveAverage="0" equalAverage="0" bottom="0" percent="0" rank="0" text="" dxfId="630">
      <formula>$D210="TH+"</formula>
    </cfRule>
    <cfRule type="expression" priority="725" aboveAverage="0" equalAverage="0" bottom="0" percent="0" rank="0" text="" dxfId="631">
      <formula>$D210="TH+ IN"</formula>
    </cfRule>
    <cfRule type="expression" priority="726" aboveAverage="0" equalAverage="0" bottom="0" percent="0" rank="0" text="" dxfId="632">
      <formula>$D210="NOVA BRASIL"</formula>
    </cfRule>
    <cfRule type="expression" priority="727" aboveAverage="0" equalAverage="0" bottom="0" percent="0" rank="0" text="" dxfId="633">
      <formula>$D210="DIFUSORA"</formula>
    </cfRule>
  </conditionalFormatting>
  <conditionalFormatting sqref="J209">
    <cfRule type="expression" priority="728" aboveAverage="0" equalAverage="0" bottom="0" percent="0" rank="0" text="" dxfId="634">
      <formula>$D209="PORTAL"</formula>
    </cfRule>
    <cfRule type="expression" priority="729" aboveAverage="0" equalAverage="0" bottom="0" percent="0" rank="0" text="" dxfId="635">
      <formula>$D209="RÁDIO 79"</formula>
    </cfRule>
    <cfRule type="expression" priority="730" aboveAverage="0" equalAverage="0" bottom="0" percent="0" rank="0" text="" dxfId="636">
      <formula>$D209="TH+"</formula>
    </cfRule>
    <cfRule type="expression" priority="731" aboveAverage="0" equalAverage="0" bottom="0" percent="0" rank="0" text="" dxfId="637">
      <formula>$D209="TH+ IN"</formula>
    </cfRule>
    <cfRule type="expression" priority="732" aboveAverage="0" equalAverage="0" bottom="0" percent="0" rank="0" text="" dxfId="638">
      <formula>$D209="NOVA BRASIL"</formula>
    </cfRule>
    <cfRule type="expression" priority="733" aboveAverage="0" equalAverage="0" bottom="0" percent="0" rank="0" text="" dxfId="639">
      <formula>$D209="DIFUSORA"</formula>
    </cfRule>
  </conditionalFormatting>
  <conditionalFormatting sqref="J214">
    <cfRule type="expression" priority="734" aboveAverage="0" equalAverage="0" bottom="0" percent="0" rank="0" text="" dxfId="640">
      <formula>$D214="PORTAL"</formula>
    </cfRule>
    <cfRule type="expression" priority="735" aboveAverage="0" equalAverage="0" bottom="0" percent="0" rank="0" text="" dxfId="641">
      <formula>$D214="RÁDIO 79"</formula>
    </cfRule>
    <cfRule type="expression" priority="736" aboveAverage="0" equalAverage="0" bottom="0" percent="0" rank="0" text="" dxfId="642">
      <formula>$D214="TH+"</formula>
    </cfRule>
    <cfRule type="expression" priority="737" aboveAverage="0" equalAverage="0" bottom="0" percent="0" rank="0" text="" dxfId="643">
      <formula>$D214="TH+ IN"</formula>
    </cfRule>
    <cfRule type="expression" priority="738" aboveAverage="0" equalAverage="0" bottom="0" percent="0" rank="0" text="" dxfId="644">
      <formula>$D214="NOVA BRASIL"</formula>
    </cfRule>
    <cfRule type="expression" priority="739" aboveAverage="0" equalAverage="0" bottom="0" percent="0" rank="0" text="" dxfId="645">
      <formula>$D214="DIFUSORA"</formula>
    </cfRule>
  </conditionalFormatting>
  <conditionalFormatting sqref="J216">
    <cfRule type="expression" priority="740" aboveAverage="0" equalAverage="0" bottom="0" percent="0" rank="0" text="" dxfId="748">
      <formula>$D216="PORTAL"</formula>
    </cfRule>
    <cfRule type="expression" priority="741" aboveAverage="0" equalAverage="0" bottom="0" percent="0" rank="0" text="" dxfId="749">
      <formula>$D216="RÁDIO 79"</formula>
    </cfRule>
    <cfRule type="expression" priority="742" aboveAverage="0" equalAverage="0" bottom="0" percent="0" rank="0" text="" dxfId="750">
      <formula>$D216="TH+"</formula>
    </cfRule>
    <cfRule type="expression" priority="743" aboveAverage="0" equalAverage="0" bottom="0" percent="0" rank="0" text="" dxfId="751">
      <formula>$D216="TH+ IN"</formula>
    </cfRule>
    <cfRule type="expression" priority="744" aboveAverage="0" equalAverage="0" bottom="0" percent="0" rank="0" text="" dxfId="752">
      <formula>$D216="NOVA BRASIL"</formula>
    </cfRule>
    <cfRule type="expression" priority="745" aboveAverage="0" equalAverage="0" bottom="0" percent="0" rank="0" text="" dxfId="753">
      <formula>$D216="DIFUSORA"</formula>
    </cfRule>
  </conditionalFormatting>
  <conditionalFormatting sqref="J217">
    <cfRule type="expression" priority="746" aboveAverage="0" equalAverage="0" bottom="0" percent="0" rank="0" text="" dxfId="646">
      <formula>$D217="PORTAL"</formula>
    </cfRule>
    <cfRule type="expression" priority="747" aboveAverage="0" equalAverage="0" bottom="0" percent="0" rank="0" text="" dxfId="647">
      <formula>$D217="TH+ PRIME"</formula>
    </cfRule>
    <cfRule type="expression" priority="748" aboveAverage="0" equalAverage="0" bottom="0" percent="0" rank="0" text="" dxfId="648">
      <formula>$D217="TH+"</formula>
    </cfRule>
    <cfRule type="expression" priority="749" aboveAverage="0" equalAverage="0" bottom="0" percent="0" rank="0" text="" dxfId="649">
      <formula>$D217="TH+ IN"</formula>
    </cfRule>
    <cfRule type="expression" priority="750" aboveAverage="0" equalAverage="0" bottom="0" percent="0" rank="0" text="" dxfId="650">
      <formula>$D217="NOVA BRASIL"</formula>
    </cfRule>
    <cfRule type="expression" priority="751" aboveAverage="0" equalAverage="0" bottom="0" percent="0" rank="0" text="" dxfId="651">
      <formula>$D217="DIFUSORA"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2025-10-27T13:12:59Z</dcterms:created>
  <dc:creator>Silvia Freitas</dc:creator>
  <dc:description/>
  <dc:language>pt-BR</dc:language>
  <cp:lastModifiedBy/>
  <dcterms:modified xsi:type="dcterms:W3CDTF">2025-11-25T15:42:03Z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